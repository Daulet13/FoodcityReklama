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kusaev\Downloads\"/>
    </mc:Choice>
  </mc:AlternateContent>
  <xr:revisionPtr revIDLastSave="0" documentId="13_ncr:1_{ED2EB66A-7215-4E20-A657-FB22ABA11BA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Договор" sheetId="1" r:id="rId1"/>
    <sheet name="Архив" sheetId="13" r:id="rId2"/>
    <sheet name="Наличные" sheetId="7" r:id="rId3"/>
    <sheet name="Прибыль с производства" sheetId="12" r:id="rId4"/>
  </sheets>
  <definedNames>
    <definedName name="_xlnm._FilterDatabase" localSheetId="1" hidden="1">Архив!$A$1:$AK$73</definedName>
    <definedName name="_xlnm._FilterDatabase" localSheetId="0" hidden="1">Договор!$A$1:$AK$76</definedName>
    <definedName name="_xlnm._FilterDatabase" localSheetId="2" hidden="1">Наличные!$D$7:$J$438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75" i="1" l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H429" i="7"/>
  <c r="G429" i="7"/>
  <c r="AG44" i="1"/>
  <c r="AG45" i="1"/>
  <c r="AG46" i="1"/>
  <c r="AG47" i="1"/>
  <c r="AG48" i="1"/>
  <c r="AE33" i="1"/>
  <c r="AE32" i="1"/>
  <c r="AE31" i="1"/>
  <c r="AE30" i="1"/>
  <c r="AE29" i="1"/>
  <c r="AE28" i="1"/>
  <c r="H387" i="7"/>
  <c r="G387" i="7"/>
  <c r="AF10" i="1"/>
  <c r="AG10" i="1"/>
  <c r="AH10" i="1"/>
  <c r="AG59" i="1"/>
  <c r="AG58" i="1"/>
  <c r="AH2" i="1"/>
  <c r="AH3" i="1"/>
  <c r="AH4" i="1"/>
  <c r="AH5" i="1"/>
  <c r="AH6" i="1"/>
  <c r="AH7" i="1"/>
  <c r="AH8" i="1"/>
  <c r="AH9" i="1"/>
  <c r="AH11" i="1"/>
  <c r="AH12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F7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9" i="1"/>
  <c r="AH50" i="1"/>
  <c r="AH51" i="1"/>
  <c r="AH52" i="1"/>
  <c r="AH53" i="1"/>
  <c r="AH54" i="1"/>
  <c r="AH55" i="1"/>
  <c r="AH56" i="1"/>
  <c r="AH57" i="1"/>
  <c r="AH58" i="1"/>
  <c r="AH59" i="1"/>
  <c r="AG2" i="1"/>
  <c r="AG4" i="1"/>
  <c r="AG5" i="1"/>
  <c r="AG6" i="1"/>
  <c r="AG7" i="1"/>
  <c r="AG8" i="1"/>
  <c r="AG9" i="1"/>
  <c r="AG11" i="1"/>
  <c r="AG12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9" i="1"/>
  <c r="AG50" i="1"/>
  <c r="AG52" i="1"/>
  <c r="AG53" i="1"/>
  <c r="AG54" i="1"/>
  <c r="AG55" i="1"/>
  <c r="AG56" i="1"/>
  <c r="AG57" i="1"/>
  <c r="AG3" i="1"/>
  <c r="AD69" i="13"/>
  <c r="AD68" i="13"/>
  <c r="AD67" i="13"/>
  <c r="AC67" i="13"/>
  <c r="AD66" i="13"/>
  <c r="AC66" i="13"/>
  <c r="AB66" i="13"/>
  <c r="AD65" i="13"/>
  <c r="AC65" i="13"/>
  <c r="AD64" i="13"/>
  <c r="AC64" i="13"/>
  <c r="AD63" i="13"/>
  <c r="AC63" i="13"/>
  <c r="H346" i="7"/>
  <c r="G346" i="7"/>
  <c r="AP76" i="1"/>
  <c r="H279" i="7"/>
  <c r="AL72" i="13"/>
  <c r="AJ72" i="13"/>
  <c r="AG72" i="13"/>
  <c r="AD71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AC71" i="13"/>
  <c r="AB71" i="13"/>
  <c r="AD62" i="13"/>
  <c r="AC62" i="13"/>
  <c r="AD61" i="13"/>
  <c r="AC61" i="13"/>
  <c r="AD60" i="13"/>
  <c r="AC60" i="13"/>
  <c r="AD59" i="13"/>
  <c r="AC59" i="13"/>
  <c r="AD58" i="13"/>
  <c r="AC58" i="13"/>
  <c r="AD57" i="13"/>
  <c r="AC57" i="13"/>
  <c r="AD56" i="13"/>
  <c r="AC56" i="13"/>
  <c r="AD55" i="13"/>
  <c r="AC55" i="13"/>
  <c r="AD54" i="13"/>
  <c r="AC54" i="13"/>
  <c r="AD53" i="13"/>
  <c r="AC53" i="13"/>
  <c r="G279" i="7"/>
  <c r="AD2" i="13"/>
  <c r="AD3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39" i="13"/>
  <c r="AB38" i="13"/>
  <c r="AB37" i="13"/>
  <c r="H26" i="7"/>
  <c r="H71" i="7"/>
  <c r="H123" i="7"/>
  <c r="H187" i="7"/>
  <c r="H244" i="7"/>
  <c r="AC52" i="13"/>
  <c r="AB52" i="13"/>
  <c r="AF8" i="1"/>
  <c r="AF9" i="1"/>
  <c r="AF11" i="1"/>
  <c r="AF22" i="1"/>
  <c r="AF6" i="1"/>
  <c r="AC2" i="13"/>
  <c r="AC3" i="13"/>
  <c r="AC4" i="13"/>
  <c r="AC5" i="13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18" i="13"/>
  <c r="G244" i="7"/>
  <c r="G187" i="7"/>
  <c r="M41" i="12"/>
  <c r="L41" i="12"/>
  <c r="I41" i="12"/>
  <c r="H41" i="12"/>
  <c r="G123" i="7"/>
  <c r="M31" i="12"/>
  <c r="L31" i="12"/>
  <c r="M15" i="12"/>
  <c r="L15" i="12"/>
  <c r="I31" i="12"/>
  <c r="I15" i="12"/>
  <c r="H31" i="12"/>
  <c r="H15" i="12"/>
  <c r="G71" i="7"/>
  <c r="G26" i="7"/>
  <c r="AE75" i="1" l="1"/>
  <c r="AE76" i="1" s="1"/>
  <c r="AF75" i="1"/>
  <c r="AG75" i="1"/>
  <c r="L76" i="1"/>
  <c r="AI75" i="1"/>
  <c r="AI76" i="1" s="1"/>
  <c r="AK75" i="1"/>
  <c r="U76" i="1"/>
  <c r="AF63" i="13"/>
  <c r="AF72" i="13" s="1"/>
  <c r="AD76" i="1" s="1"/>
  <c r="X76" i="1"/>
  <c r="W76" i="1"/>
  <c r="N76" i="1"/>
  <c r="Y76" i="1"/>
  <c r="O76" i="1"/>
  <c r="M76" i="1"/>
  <c r="T76" i="1"/>
  <c r="V76" i="1"/>
  <c r="S76" i="1"/>
  <c r="R76" i="1"/>
  <c r="Q76" i="1"/>
  <c r="P76" i="1"/>
  <c r="AB72" i="13"/>
  <c r="Z76" i="1" s="1"/>
  <c r="AC72" i="13"/>
  <c r="AE4" i="13"/>
  <c r="AE5" i="13"/>
  <c r="AD5" i="13" s="1"/>
  <c r="AG79" i="1" l="1"/>
  <c r="AI63" i="13"/>
  <c r="AI72" i="13" s="1"/>
  <c r="AK76" i="1" s="1"/>
  <c r="AH72" i="13"/>
  <c r="AC75" i="13"/>
  <c r="AA76" i="1"/>
  <c r="AE72" i="13"/>
  <c r="AD4" i="13"/>
  <c r="AD72" i="13" s="1"/>
  <c r="AM75" i="1"/>
  <c r="AD75" i="13" l="1"/>
  <c r="AD76" i="13" s="1"/>
  <c r="AB76" i="1"/>
  <c r="AG76" i="1"/>
  <c r="AC76" i="1"/>
  <c r="AK63" i="13"/>
  <c r="AK72" i="13" s="1"/>
  <c r="AM76" i="1" s="1"/>
  <c r="AF76" i="1"/>
  <c r="AN75" i="1"/>
  <c r="AN76" i="1" s="1"/>
  <c r="AJ75" i="1"/>
  <c r="AJ76" i="1" s="1"/>
  <c r="AO75" i="1"/>
  <c r="AO76" i="1" s="1"/>
  <c r="AH75" i="1"/>
  <c r="AL75" i="1"/>
  <c r="AL76" i="1" s="1"/>
  <c r="AH76" i="1" l="1"/>
  <c r="AH79" i="1"/>
  <c r="AH80" i="1" s="1"/>
</calcChain>
</file>

<file path=xl/sharedStrings.xml><?xml version="1.0" encoding="utf-8"?>
<sst xmlns="http://schemas.openxmlformats.org/spreadsheetml/2006/main" count="4938" uniqueCount="1144">
  <si>
    <t>январь</t>
  </si>
  <si>
    <t>февраль</t>
  </si>
  <si>
    <t>март</t>
  </si>
  <si>
    <t>апрель</t>
  </si>
  <si>
    <t>май</t>
  </si>
  <si>
    <t>Борис</t>
  </si>
  <si>
    <t>Напитки</t>
  </si>
  <si>
    <t>РД-98</t>
  </si>
  <si>
    <t>Спецификация № 1 с 25.10.2024 по 24.01.2025 г.</t>
  </si>
  <si>
    <t>№ Спецификации</t>
  </si>
  <si>
    <t>№ Договора</t>
  </si>
  <si>
    <t>Категория</t>
  </si>
  <si>
    <t>Номер павильона</t>
  </si>
  <si>
    <t>Контакты</t>
  </si>
  <si>
    <t>Ответственное лицо</t>
  </si>
  <si>
    <t xml:space="preserve">Сыр, Колбаса </t>
  </si>
  <si>
    <t>Колбаса</t>
  </si>
  <si>
    <t>РД-96</t>
  </si>
  <si>
    <t>РД-89</t>
  </si>
  <si>
    <t>Артак</t>
  </si>
  <si>
    <t>РД-93</t>
  </si>
  <si>
    <t>Никита</t>
  </si>
  <si>
    <t xml:space="preserve">Напитки </t>
  </si>
  <si>
    <t xml:space="preserve">Морепродукты </t>
  </si>
  <si>
    <t xml:space="preserve"> РД-94</t>
  </si>
  <si>
    <t>10 кросс-док</t>
  </si>
  <si>
    <t>РД-97</t>
  </si>
  <si>
    <t>Пункт отправки маркетплейса</t>
  </si>
  <si>
    <t>РД-92</t>
  </si>
  <si>
    <t>РД-103</t>
  </si>
  <si>
    <t>РД-63</t>
  </si>
  <si>
    <t>РД-100</t>
  </si>
  <si>
    <t>Назлы</t>
  </si>
  <si>
    <t>РД-003</t>
  </si>
  <si>
    <t>РД-001</t>
  </si>
  <si>
    <t>Финансы</t>
  </si>
  <si>
    <t>ПАРК-0112/24</t>
  </si>
  <si>
    <t>СЭФ-3</t>
  </si>
  <si>
    <t>В-001</t>
  </si>
  <si>
    <t>РД-57</t>
  </si>
  <si>
    <t>ПР/У-001</t>
  </si>
  <si>
    <t>РД-009</t>
  </si>
  <si>
    <t xml:space="preserve">Спецификация № 1 с 01.03.25г. по 31.12.25г. </t>
  </si>
  <si>
    <t>СЭФ-002</t>
  </si>
  <si>
    <t>Продажа сухофруктов</t>
  </si>
  <si>
    <t>РД-007</t>
  </si>
  <si>
    <t>РД-002</t>
  </si>
  <si>
    <t xml:space="preserve">Спецификация № 1 с 21.02.25г. по 20.08.25г. </t>
  </si>
  <si>
    <t>Алкоголь</t>
  </si>
  <si>
    <t xml:space="preserve">Приложение № 1 от 01.03.2025г. по 30.04.2025г. </t>
  </si>
  <si>
    <t>РД-004</t>
  </si>
  <si>
    <t xml:space="preserve">Спецификация № 1 с 01.03.25г. по 30.04.25г. </t>
  </si>
  <si>
    <t xml:space="preserve">Спецификация № 2 с 01.03.25г. по 30.04.25г. </t>
  </si>
  <si>
    <t xml:space="preserve">Спецификация № 3 с 01.03.25г. по 30.04.25г. </t>
  </si>
  <si>
    <t xml:space="preserve">Сотовый оператор </t>
  </si>
  <si>
    <t>РД-006</t>
  </si>
  <si>
    <t xml:space="preserve">Спецификация № 1 с 01.03.25г. по 31.05.25г. </t>
  </si>
  <si>
    <t xml:space="preserve">Спецификация № 4 с 01.03.25г. по 30.04.25г. </t>
  </si>
  <si>
    <t xml:space="preserve">Магазин восточных товаров </t>
  </si>
  <si>
    <t>РД-005</t>
  </si>
  <si>
    <t>СЭФ-001</t>
  </si>
  <si>
    <t>РД-008</t>
  </si>
  <si>
    <t>ПР/У-002</t>
  </si>
  <si>
    <t>МФ-26</t>
  </si>
  <si>
    <t xml:space="preserve">Спецификация № 1 с 21 августа 2024г. по 16 февраля 2025г </t>
  </si>
  <si>
    <t>Спецификация № 3 с 21 августа 2024г. по 16 февраля 2025г</t>
  </si>
  <si>
    <t>Спецификация № 1 с 13.11.2024 г. по 12.02.2025 г.</t>
  </si>
  <si>
    <t>Итого:</t>
  </si>
  <si>
    <t>Менеджер</t>
  </si>
  <si>
    <t>Компания</t>
  </si>
  <si>
    <t xml:space="preserve">Комментарий </t>
  </si>
  <si>
    <t>Месяц</t>
  </si>
  <si>
    <t>Ресторан "ФоБо Nami"</t>
  </si>
  <si>
    <t>Щит 2 (размещение)</t>
  </si>
  <si>
    <t>Щит 2 (изготовление/монтаж/демонтаж)</t>
  </si>
  <si>
    <t xml:space="preserve"> Дата оплаты</t>
  </si>
  <si>
    <t xml:space="preserve">Сумма (руб.) </t>
  </si>
  <si>
    <t>22.01.2025г</t>
  </si>
  <si>
    <t>Ресторан "Гулибодом, Муроду Максад, Конибодром"</t>
  </si>
  <si>
    <t xml:space="preserve">Размещение </t>
  </si>
  <si>
    <t>Изготовление/монтаж/демонтаж</t>
  </si>
  <si>
    <t>Щит 1 (размещение)</t>
  </si>
  <si>
    <t>Альянс Маркет (026-027)</t>
  </si>
  <si>
    <t>Вывеска</t>
  </si>
  <si>
    <t>23.01.2025г</t>
  </si>
  <si>
    <t>Химчистка (2-1-074,2-1-076)</t>
  </si>
  <si>
    <t>Дизайн + правки</t>
  </si>
  <si>
    <t>Установка 2 баннеров с люверсами</t>
  </si>
  <si>
    <t>Рональд</t>
  </si>
  <si>
    <t>NEAPOL SHOP (2-3-090)</t>
  </si>
  <si>
    <t>Дизайн</t>
  </si>
  <si>
    <t>24.01.2025г</t>
  </si>
  <si>
    <t>Нотариальный перевод документов</t>
  </si>
  <si>
    <t>Оплата размещения за февраль</t>
  </si>
  <si>
    <t>28.01.2025г</t>
  </si>
  <si>
    <t>Автомойка</t>
  </si>
  <si>
    <t>29.01.2025г.</t>
  </si>
  <si>
    <t>ТСБ Север</t>
  </si>
  <si>
    <t xml:space="preserve">Оплата размещения за февраль </t>
  </si>
  <si>
    <t xml:space="preserve">Wildberries </t>
  </si>
  <si>
    <t>Оплата размещения на Фуре, лифты (20), две двери в гостинице</t>
  </si>
  <si>
    <t>Монтаж</t>
  </si>
  <si>
    <t>Павильоны 6-002, 6-004</t>
  </si>
  <si>
    <t>30.01.2025г.</t>
  </si>
  <si>
    <t>Световой односторонний композитный короб (вывеска)</t>
  </si>
  <si>
    <t>Январь</t>
  </si>
  <si>
    <t>Промо-акция (раздача листовок)</t>
  </si>
  <si>
    <t xml:space="preserve">03.02.2025г. </t>
  </si>
  <si>
    <t>Павильон СТ6-А-06</t>
  </si>
  <si>
    <t>Промо-акция (Раздача визиток)</t>
  </si>
  <si>
    <t xml:space="preserve">06.02.2025г. </t>
  </si>
  <si>
    <t>Павильон 5-6-02</t>
  </si>
  <si>
    <t>Изготовление/монтаж/демонтаж (2 наклейки в лифты)</t>
  </si>
  <si>
    <t>Размещение в лифтах наклеек (2 шт.)</t>
  </si>
  <si>
    <t>Планета Алкоголя (14-39)</t>
  </si>
  <si>
    <t>АП-ВХ 8 Автомат с водой</t>
  </si>
  <si>
    <t>Промо-акция (Торговое представительство)</t>
  </si>
  <si>
    <t xml:space="preserve">07.02.2025г. </t>
  </si>
  <si>
    <t>Доставка до складов маркетплейсов</t>
  </si>
  <si>
    <t>Оплата изготовления наклеек А1 и листовок А5</t>
  </si>
  <si>
    <t>10.02.2025г.</t>
  </si>
  <si>
    <t xml:space="preserve">Изготовление баннера на фасад </t>
  </si>
  <si>
    <t>Павильон 2-3-070</t>
  </si>
  <si>
    <t>Оплата размещения на Фуре на месяц</t>
  </si>
  <si>
    <t xml:space="preserve">13.02.2025г. </t>
  </si>
  <si>
    <t>World Money</t>
  </si>
  <si>
    <t xml:space="preserve">14.02.2025г. </t>
  </si>
  <si>
    <t>19-042</t>
  </si>
  <si>
    <t xml:space="preserve">17.02.2025г. </t>
  </si>
  <si>
    <t>Размещение навигационных коробов (2 шт.)</t>
  </si>
  <si>
    <t>4-019/21</t>
  </si>
  <si>
    <t>Виктория</t>
  </si>
  <si>
    <t xml:space="preserve">18.02.2025г. </t>
  </si>
  <si>
    <t>Банк "Мир Привелегий"</t>
  </si>
  <si>
    <t xml:space="preserve">Оплата размещения на фасаде баннера </t>
  </si>
  <si>
    <t>2-3-027,2-3-033</t>
  </si>
  <si>
    <t>Оплата размещения на паркоматах</t>
  </si>
  <si>
    <t xml:space="preserve">20.02.2025г. </t>
  </si>
  <si>
    <t>2-1-067,2-2-068</t>
  </si>
  <si>
    <t>Оплата размещения Фуры на месяц</t>
  </si>
  <si>
    <t>Парикмахерская "Аврора"</t>
  </si>
  <si>
    <t xml:space="preserve">21.02.2025г. </t>
  </si>
  <si>
    <t>Кросс-док 10 (пав. 3,4,5) "Сокровище морей"</t>
  </si>
  <si>
    <t xml:space="preserve">Изготовление/монтаж/демонтаж наклейки </t>
  </si>
  <si>
    <t>Ост. 12 МЕД</t>
  </si>
  <si>
    <t xml:space="preserve">Наклейки и ПВХ наклейки </t>
  </si>
  <si>
    <t>Ресторан "Chiken Planet" ФК-15</t>
  </si>
  <si>
    <t>Промо-акция (Раздача листовок-меню на два месяца)</t>
  </si>
  <si>
    <t>24.02.2025г.</t>
  </si>
  <si>
    <t>Ресторан "Antep Sofrasi"</t>
  </si>
  <si>
    <t>25.02.2025г.</t>
  </si>
  <si>
    <t>Нури и Джейн</t>
  </si>
  <si>
    <t>Щит (размещение)</t>
  </si>
  <si>
    <t>21.01.2025г</t>
  </si>
  <si>
    <t>Ресторан "Чайхана Халва" (Ц2-17)</t>
  </si>
  <si>
    <t>Оплата раздачи листовок на 2 месяца</t>
  </si>
  <si>
    <t xml:space="preserve">26.02.2025г. </t>
  </si>
  <si>
    <t>2-2-090</t>
  </si>
  <si>
    <t>Оплата размещения</t>
  </si>
  <si>
    <t>2-1-056</t>
  </si>
  <si>
    <t>Оплата торгового представительства</t>
  </si>
  <si>
    <t>12.02.2025г.</t>
  </si>
  <si>
    <t>Оплата размещения за март</t>
  </si>
  <si>
    <t xml:space="preserve">27.02.2025г. </t>
  </si>
  <si>
    <t>КулиБодом</t>
  </si>
  <si>
    <t>Щит № 3 (размещение)</t>
  </si>
  <si>
    <t>Щит № 1 (размещение)</t>
  </si>
  <si>
    <t>Щит № 2 (размещение)</t>
  </si>
  <si>
    <t>2-22-040</t>
  </si>
  <si>
    <t>Февраль</t>
  </si>
  <si>
    <t>СКС 7 (Айбарус)</t>
  </si>
  <si>
    <t xml:space="preserve">28.02.2025г. </t>
  </si>
  <si>
    <t>Размещение за март</t>
  </si>
  <si>
    <t xml:space="preserve">2-4-087 </t>
  </si>
  <si>
    <t>Изготовление баннера 8,9 на 11,5</t>
  </si>
  <si>
    <t>Аврора</t>
  </si>
  <si>
    <t>Размещение и изготовление/монтаж/демонтаж</t>
  </si>
  <si>
    <t xml:space="preserve">03.03.2025г. </t>
  </si>
  <si>
    <t>Изготовление</t>
  </si>
  <si>
    <t xml:space="preserve">04.03.2025г. </t>
  </si>
  <si>
    <t>"Нури и Джейн"</t>
  </si>
  <si>
    <t>Цветы</t>
  </si>
  <si>
    <t>РД-102</t>
  </si>
  <si>
    <t xml:space="preserve">Спецификация № 1 с 01.01.25г. по 31.03.25г. </t>
  </si>
  <si>
    <t>ПАРК-001/01/01/2025</t>
  </si>
  <si>
    <t>ПР/У-003</t>
  </si>
  <si>
    <t>Аптека</t>
  </si>
  <si>
    <t>Прибыль с производства 2025г.</t>
  </si>
  <si>
    <t>Безналичный расчет</t>
  </si>
  <si>
    <t>Номер Договора</t>
  </si>
  <si>
    <t xml:space="preserve">Сумма продажи </t>
  </si>
  <si>
    <t>Чистая прибыль</t>
  </si>
  <si>
    <t>Поверхность</t>
  </si>
  <si>
    <t xml:space="preserve">Наличный расчет </t>
  </si>
  <si>
    <t>Сумма продажи</t>
  </si>
  <si>
    <t>Короб 1.24 (14000:4000 мм)</t>
  </si>
  <si>
    <t>Короб 1.22 (21330:3700 мм)</t>
  </si>
  <si>
    <t>Короб 1.20 (20600:3700 мм)</t>
  </si>
  <si>
    <t>2 нав. таблички 1 сторон. 2700:500 мм</t>
  </si>
  <si>
    <t>Короб 1.27 (18000:4000 мм)</t>
  </si>
  <si>
    <t>Короб 1.16 (6000:9500 мм)</t>
  </si>
  <si>
    <t>Наклейки на вх. гр. 4 шт. (1260:2300 мм), 4 шт. (940:2300 мм), 2 шт. (870:2300 мм)</t>
  </si>
  <si>
    <t>Короб 1.16 (14900:3700 мм)</t>
  </si>
  <si>
    <t>1-сторон. баннер (3600:2700 мм)</t>
  </si>
  <si>
    <t>1 нав. табличка (2700:500 мм)</t>
  </si>
  <si>
    <t>Интерьерные короба - 3шт. (1200:1800 мм)</t>
  </si>
  <si>
    <t>Короб вход №9 (7500:1800 мм)</t>
  </si>
  <si>
    <t>Самокл.пленка - 6 шт. (18100:730 мм)</t>
  </si>
  <si>
    <t>Самокл.пленка - 2 шт. (970:2270 мм)</t>
  </si>
  <si>
    <t>Самокл.пленка - 2 шт. (780:2290 мм)</t>
  </si>
  <si>
    <t>Баннер (атриум) - 37100:1900 мм</t>
  </si>
  <si>
    <t>4 шт. 1-сторон. нав. Таблички (2700:500 мм)</t>
  </si>
  <si>
    <t>Плакат ПВХ (2000:1500 мм)</t>
  </si>
  <si>
    <t>Щит (3600:2700мм)</t>
  </si>
  <si>
    <t>2 баннера с люверсами</t>
  </si>
  <si>
    <t xml:space="preserve">Плакаты лифты (20 шт.) и две двери в гостиницы Wildberries </t>
  </si>
  <si>
    <t>Наклейки 10 кросс-док</t>
  </si>
  <si>
    <t>Изготовление баннера на фасад  Wildberries</t>
  </si>
  <si>
    <t>Изготовление/монтаж/демонтаж 19-042</t>
  </si>
  <si>
    <t>Изготовление/монтаж/демонтаж Банк Мир Привелегий</t>
  </si>
  <si>
    <t>Изготовление/монтаж/демонтаж наклейки "Сокровище морей"</t>
  </si>
  <si>
    <t>Наклейки и ПВХ наклейки (Ост. 12 МЕД)</t>
  </si>
  <si>
    <t>Изготовление/монтаж/демонтаж (Ресторан "Antep Sofrasi")</t>
  </si>
  <si>
    <t>Изготовление баннера 8,9 на 11,5 (2-4-087)</t>
  </si>
  <si>
    <t>Изготовление баннера 8,9 на 11,5 (Аврора)</t>
  </si>
  <si>
    <t>"King's Food"</t>
  </si>
  <si>
    <t>Чайхана "ТАХАР"(ФК 18/1)</t>
  </si>
  <si>
    <t xml:space="preserve">Медцентр </t>
  </si>
  <si>
    <t xml:space="preserve">05.03.2025г. </t>
  </si>
  <si>
    <t>2-1-069</t>
  </si>
  <si>
    <t>Авиакарго</t>
  </si>
  <si>
    <t xml:space="preserve">Оплата производства </t>
  </si>
  <si>
    <t xml:space="preserve">06.03.2025г. </t>
  </si>
  <si>
    <t xml:space="preserve">Рефрижераторный контейнер </t>
  </si>
  <si>
    <t xml:space="preserve">Изготовление баннера на рефирижераторный контейнер </t>
  </si>
  <si>
    <t>ФК 39</t>
  </si>
  <si>
    <t>Оплата размещения баннера на фасаде за март</t>
  </si>
  <si>
    <t>Оплата размещения наклеек в лифтах и в гостинице за март</t>
  </si>
  <si>
    <t xml:space="preserve">11.03.2025г. </t>
  </si>
  <si>
    <t>2/20 (Торговая семья)</t>
  </si>
  <si>
    <t>Нео Ломбард</t>
  </si>
  <si>
    <t xml:space="preserve">Оплата размещения за март </t>
  </si>
  <si>
    <t xml:space="preserve">12.03.2025г. </t>
  </si>
  <si>
    <t>2-3-070</t>
  </si>
  <si>
    <t>Оплата размещения на Фуре</t>
  </si>
  <si>
    <t xml:space="preserve">14.03.2025г. </t>
  </si>
  <si>
    <t>Агенство Недвижимости "Триумф"</t>
  </si>
  <si>
    <t>Оплата промо-акции</t>
  </si>
  <si>
    <t xml:space="preserve">17.03.2025г. </t>
  </si>
  <si>
    <t>Центр 26 (1-С 25 линия)</t>
  </si>
  <si>
    <t>Дизайн 2 макетов</t>
  </si>
  <si>
    <t>Оплата размещения 3-х ролл-аппов</t>
  </si>
  <si>
    <t>Оплата размещения (Щит на парковке)</t>
  </si>
  <si>
    <t xml:space="preserve">18.03.2025г. </t>
  </si>
  <si>
    <t>DAS (6-075)</t>
  </si>
  <si>
    <t>Вывеска (световой односторонний короб)</t>
  </si>
  <si>
    <t>Вывеска (панель кранштейн)</t>
  </si>
  <si>
    <t xml:space="preserve">19.03.2025г. </t>
  </si>
  <si>
    <t xml:space="preserve">20.03.2025г. </t>
  </si>
  <si>
    <t>СДЭК (2-2-095)</t>
  </si>
  <si>
    <t>Склад 2/18</t>
  </si>
  <si>
    <t xml:space="preserve">21.03.2025г. </t>
  </si>
  <si>
    <t>2-1-067, 2-2-068, 2-2-070</t>
  </si>
  <si>
    <t xml:space="preserve">Размещение ролика на фуре </t>
  </si>
  <si>
    <t>Наша Камчатка</t>
  </si>
  <si>
    <t xml:space="preserve">Карго Таджикистан </t>
  </si>
  <si>
    <t xml:space="preserve">24.03.2025г. </t>
  </si>
  <si>
    <t>Производство двух баннеров на авто</t>
  </si>
  <si>
    <t>Оплата размещения щита КулиБодом</t>
  </si>
  <si>
    <t>Оплата размещения щита № 1 "ФоБо Nami"</t>
  </si>
  <si>
    <t>Оплата размещения щита № 2 "ФоБо Nami"</t>
  </si>
  <si>
    <t>Виктория (6-009, 6-011, 7-006, 7-008, 7-10, 7-012, 7-014)</t>
  </si>
  <si>
    <t>Оплата размещения на Фуре за март</t>
  </si>
  <si>
    <t>Вывеска и ПК</t>
  </si>
  <si>
    <t>Финансовый альянс (2-1-048)</t>
  </si>
  <si>
    <t xml:space="preserve">25.03.2025г. </t>
  </si>
  <si>
    <t>РОНГ ФК35</t>
  </si>
  <si>
    <t>Оплата производства 3-х баннеров на щиты</t>
  </si>
  <si>
    <t xml:space="preserve">26.03.2025г. </t>
  </si>
  <si>
    <t>Джиз Биз ФК 12</t>
  </si>
  <si>
    <t>Оплата производства баннера</t>
  </si>
  <si>
    <t>2-22-005</t>
  </si>
  <si>
    <t xml:space="preserve">27.03.2025г. </t>
  </si>
  <si>
    <t>ПР/У-004</t>
  </si>
  <si>
    <t>Спецификация № 2 с 01.01.25г. по 31.03.25г. (Доп. Соглашение № 1 по 31.12.2025г.)</t>
  </si>
  <si>
    <t>Спецификация № 3 с 01.01.25г. по 31.03.25г. (Доп. Соглашение № 1 по 31.12.2025г.)</t>
  </si>
  <si>
    <t>Спецификация № 4 с 01.01.25г. по 31.03.25г. (Доп. Соглашение № 1 по 31.12.2025г.)</t>
  </si>
  <si>
    <t>Спецификация № 5 с 01.01.25г. по 31.03.25г. (Доп. Соглашение № 1 по 31.12.2025г.)</t>
  </si>
  <si>
    <t>Спецификация № 6 с 01.01.25г. по 31.03.25г. (Доп. Соглашение № 1 по 31.12.2025г.)</t>
  </si>
  <si>
    <t>РД-011</t>
  </si>
  <si>
    <t xml:space="preserve">Спецификация № 1 с 01.03.25г. по 31.08.25г. </t>
  </si>
  <si>
    <t>Спецификация № 2 по 31.01.2025г. (Доп. Соглашение № 1 по 31.03.2025г.)</t>
  </si>
  <si>
    <t>Спецификация № 3 по 31.01.2025г. (Доп. Соглашение № 1 по 31.03.2025г.)</t>
  </si>
  <si>
    <t>МФ-001</t>
  </si>
  <si>
    <t xml:space="preserve">Приложение № 1 от 01.02.2025г. по 28.02.2025г. </t>
  </si>
  <si>
    <t>М/Ф-004</t>
  </si>
  <si>
    <t xml:space="preserve">Приложение № 1 от 01.02.2025г. по 30.11.2025г. </t>
  </si>
  <si>
    <t>Мясо</t>
  </si>
  <si>
    <t>РД-040</t>
  </si>
  <si>
    <t>Спецификация № 1 с 01.06.22г. по 31.08.22г. (Доп. Соглашение № 4 по 31.12.2025г.)</t>
  </si>
  <si>
    <t>Спецификация № 6 с 01.12.2024 по 28.02.2025</t>
  </si>
  <si>
    <t>Спецификация № 7 с 01.12.2024 по 28.02.2025</t>
  </si>
  <si>
    <t>Спецификация № 8 с 01.12.2024 по 28.02.2025</t>
  </si>
  <si>
    <t>Спецификация № 9 с 01.12.2024 по 28.02.2025 (Доп. Соглашение № 2 по 31.05.2025г.)</t>
  </si>
  <si>
    <t>Спецификация № 1 с 01.03.23 по 28.02.25 (Доп. Соглашение № 1)</t>
  </si>
  <si>
    <t>ПР/У-005</t>
  </si>
  <si>
    <t>М/Ф-005</t>
  </si>
  <si>
    <t xml:space="preserve">Приложение № 1 от 01.04.2025г. по 31.05.2025г. </t>
  </si>
  <si>
    <t>Нотариальный перевод документов (А2-011)</t>
  </si>
  <si>
    <t>Изготовление щита № 4 перед метро</t>
  </si>
  <si>
    <t>Оплата размещения щитов № 1,2,3</t>
  </si>
  <si>
    <t>2-3-027</t>
  </si>
  <si>
    <t xml:space="preserve">28.03.2025г. </t>
  </si>
  <si>
    <t>2-22-055</t>
  </si>
  <si>
    <t xml:space="preserve">Вывеска и панель кронштейн </t>
  </si>
  <si>
    <t>СЭФ-003</t>
  </si>
  <si>
    <t>ФК - АТР 5 Кафе "Tasty"</t>
  </si>
  <si>
    <t xml:space="preserve">Оплата раздачи листовок меню на 2 месяца </t>
  </si>
  <si>
    <t xml:space="preserve">31.03.2025г. </t>
  </si>
  <si>
    <t>2-1-038</t>
  </si>
  <si>
    <t xml:space="preserve">Оплата демонтажа вывески </t>
  </si>
  <si>
    <t>Март</t>
  </si>
  <si>
    <t>6-014,6-016</t>
  </si>
  <si>
    <t>Изготовление, монтаж, демонтаж нав. короба - 2 шт.</t>
  </si>
  <si>
    <t xml:space="preserve">01.04.2025г. </t>
  </si>
  <si>
    <t>Размещение нав. короба - 2 шт.</t>
  </si>
  <si>
    <t>Стикеры в лифтах 20 шт. (594:841 мм)</t>
  </si>
  <si>
    <t>Изготовление 10 плакатов размера А0</t>
  </si>
  <si>
    <t>Изготовление 2 сторонего баннера и размещение на 1 месяц</t>
  </si>
  <si>
    <t>4.40 на 1.00 баннер на люверсах</t>
  </si>
  <si>
    <t>баннер (на трубе) 2560х350</t>
  </si>
  <si>
    <t>Оплата производства Авиакарго</t>
  </si>
  <si>
    <t>Запросить у Рональда, не указано в таблице</t>
  </si>
  <si>
    <t>Запросить у Назлы, не указано в таблице</t>
  </si>
  <si>
    <t>Апрель</t>
  </si>
  <si>
    <t>ФК 18/1 Чайхана Тахар</t>
  </si>
  <si>
    <t>Промо акция (раздача листовок меню)</t>
  </si>
  <si>
    <t xml:space="preserve">02.04.2025г. </t>
  </si>
  <si>
    <t xml:space="preserve">Изготовление вывески и панель кранштейн </t>
  </si>
  <si>
    <t>СДЭК</t>
  </si>
  <si>
    <t>Промо акция (раздача листовок)</t>
  </si>
  <si>
    <t>Гала концерт</t>
  </si>
  <si>
    <t xml:space="preserve">03.04.2025г. </t>
  </si>
  <si>
    <t>Айбарус</t>
  </si>
  <si>
    <t>Размещение банера 22 м2 за апрель</t>
  </si>
  <si>
    <t xml:space="preserve">04.04.2025г. </t>
  </si>
  <si>
    <t>Производство 3 баннеров на щиты</t>
  </si>
  <si>
    <t>Производство 3 баннеров на щиты (смена макета)</t>
  </si>
  <si>
    <t>Ост. 12-038</t>
  </si>
  <si>
    <t>Наклейка ПВХ 3 мм</t>
  </si>
  <si>
    <t>Юнионфудс</t>
  </si>
  <si>
    <t>Изготовление 2 баннеров на щиты</t>
  </si>
  <si>
    <t xml:space="preserve">07.04.2025г. </t>
  </si>
  <si>
    <t>Промо акция</t>
  </si>
  <si>
    <t xml:space="preserve">08.04.2025г. </t>
  </si>
  <si>
    <t>Istanbul Doner</t>
  </si>
  <si>
    <t>Промо акция 2 дня</t>
  </si>
  <si>
    <t>Размещение рекламы на РАМПЕ</t>
  </si>
  <si>
    <t xml:space="preserve">09.04.2025г. </t>
  </si>
  <si>
    <t>Ост. 22-028</t>
  </si>
  <si>
    <t xml:space="preserve">Вывеска и панель кронштейн 2 шт. </t>
  </si>
  <si>
    <t>Оплата размещения в лифтах</t>
  </si>
  <si>
    <t xml:space="preserve">Оплата размещения на фасаде </t>
  </si>
  <si>
    <t>20-020 (Стамбул базар)</t>
  </si>
  <si>
    <t>Оплата размещения навигационного короба (2 шт.)</t>
  </si>
  <si>
    <t>2-22-001</t>
  </si>
  <si>
    <t xml:space="preserve">Изготовление композитного короба и панель кронштейн </t>
  </si>
  <si>
    <t xml:space="preserve">11.04.2025г. </t>
  </si>
  <si>
    <t>2-1-048</t>
  </si>
  <si>
    <t>6-089, 6-091</t>
  </si>
  <si>
    <t xml:space="preserve">12.04.2025г. </t>
  </si>
  <si>
    <t>Промо акция на внешней территории</t>
  </si>
  <si>
    <t xml:space="preserve">14.04.2025г. </t>
  </si>
  <si>
    <t>Размещение на рампе</t>
  </si>
  <si>
    <t>2-14-059</t>
  </si>
  <si>
    <t>Оплата размещения щита на парковке</t>
  </si>
  <si>
    <t>ИП Юшаев А.Э.</t>
  </si>
  <si>
    <t>MARAS CAFÉ (KD4P)</t>
  </si>
  <si>
    <t xml:space="preserve">16.04.2025г. </t>
  </si>
  <si>
    <t>2-7-048</t>
  </si>
  <si>
    <t>Демонтаж вывески</t>
  </si>
  <si>
    <t>Оплата изготовления 2-х баннеров на щиты</t>
  </si>
  <si>
    <t>УРК 57 (РЕФ. КОНТЕЙНЕР)</t>
  </si>
  <si>
    <t xml:space="preserve">17.04.2025г. </t>
  </si>
  <si>
    <t>Оплата изготовления баннера</t>
  </si>
  <si>
    <t>Монтаж вывески</t>
  </si>
  <si>
    <t xml:space="preserve">18.04.2025г. </t>
  </si>
  <si>
    <t>РЕФ. КОНТЕЙНЕР</t>
  </si>
  <si>
    <t>Парикмахерская "BESTMAN"</t>
  </si>
  <si>
    <t xml:space="preserve">21.04.2025г. </t>
  </si>
  <si>
    <t>2-15-047</t>
  </si>
  <si>
    <t>Оплата размещения баннера</t>
  </si>
  <si>
    <t>Промо акция (раздача листовок на всей территории)</t>
  </si>
  <si>
    <t xml:space="preserve">22.04.2025г. </t>
  </si>
  <si>
    <t>УРК 68</t>
  </si>
  <si>
    <t xml:space="preserve">23.04.2025г. </t>
  </si>
  <si>
    <t>Дегустер</t>
  </si>
  <si>
    <t>Оплата изготовления визиток</t>
  </si>
  <si>
    <t>Оплата изготовления нехватающую букву на вывеске</t>
  </si>
  <si>
    <t>Промо акция на 30 дней</t>
  </si>
  <si>
    <t xml:space="preserve">24.04.2025г. </t>
  </si>
  <si>
    <t>Оплата размещения Щит № 2</t>
  </si>
  <si>
    <t>Оплата размещения Щит № 1</t>
  </si>
  <si>
    <t>Оплата размещения Щит № 3</t>
  </si>
  <si>
    <t>Ресторан "КулиБодом"</t>
  </si>
  <si>
    <t>2-14-065</t>
  </si>
  <si>
    <t xml:space="preserve">25.04.2025г. </t>
  </si>
  <si>
    <t>Ресторан "Чинар" (ФК-19)</t>
  </si>
  <si>
    <t>Оплата изготовления плаката ПВХ</t>
  </si>
  <si>
    <t>Оплата размещения плаката ПВХ</t>
  </si>
  <si>
    <t xml:space="preserve">28.04.2025г. </t>
  </si>
  <si>
    <t>Ресторан "Chiken Planet" (ФК-12,15)</t>
  </si>
  <si>
    <t>Изготовление, монтаж, демонтаж</t>
  </si>
  <si>
    <t>Оплата размещения на 6 месяцев</t>
  </si>
  <si>
    <t>"Victoria"</t>
  </si>
  <si>
    <t xml:space="preserve">Оплата размещения на Фуре </t>
  </si>
  <si>
    <t xml:space="preserve">29.04.2025г. </t>
  </si>
  <si>
    <t>Рыбный магазин у 4 КПП</t>
  </si>
  <si>
    <t>А2-011 Нотариальные переводы</t>
  </si>
  <si>
    <t xml:space="preserve">Размещение на 3 щитах </t>
  </si>
  <si>
    <t xml:space="preserve">30.04.2025г. </t>
  </si>
  <si>
    <t>3-068, 3-072</t>
  </si>
  <si>
    <t>Оформление баннера внутри павильона</t>
  </si>
  <si>
    <t>6-014/016</t>
  </si>
  <si>
    <t xml:space="preserve">01.05.2025г. </t>
  </si>
  <si>
    <t>УРК 46, УРК 47</t>
  </si>
  <si>
    <t xml:space="preserve">06.05.2025г. </t>
  </si>
  <si>
    <t>2-4-087</t>
  </si>
  <si>
    <t xml:space="preserve">07.05.2025г. </t>
  </si>
  <si>
    <t>Кафе "Ночной Баку"</t>
  </si>
  <si>
    <t xml:space="preserve">11.05.2025г. </t>
  </si>
  <si>
    <t xml:space="preserve">12.05.2025г. </t>
  </si>
  <si>
    <t>2-10-001</t>
  </si>
  <si>
    <t xml:space="preserve">13.05.2025г. </t>
  </si>
  <si>
    <t>А-036,035</t>
  </si>
  <si>
    <t>Оплата размещения 2-х сторннего короба</t>
  </si>
  <si>
    <t>Кинг Фудс</t>
  </si>
  <si>
    <t xml:space="preserve">14.05.2025г. </t>
  </si>
  <si>
    <t>УРК 53</t>
  </si>
  <si>
    <t>Ресторан "Чайхана Азия"</t>
  </si>
  <si>
    <t>Оплата размещения на щите</t>
  </si>
  <si>
    <t>Нотариальные переводы (А2-011)</t>
  </si>
  <si>
    <t>фев.27 (2/36)</t>
  </si>
  <si>
    <t xml:space="preserve">15.05.2025г. </t>
  </si>
  <si>
    <t>Ресторан "Ночной Баку"</t>
  </si>
  <si>
    <t>Изготовление 2 баннеров</t>
  </si>
  <si>
    <t xml:space="preserve">16.05.2025г. </t>
  </si>
  <si>
    <t>Оплата размещения за май</t>
  </si>
  <si>
    <t xml:space="preserve">19.05.2025г. </t>
  </si>
  <si>
    <t>ФК-18</t>
  </si>
  <si>
    <t>Типография "СИБ ПРИНТ"</t>
  </si>
  <si>
    <t xml:space="preserve">20.05.2025г. </t>
  </si>
  <si>
    <t>Промо акция (раздача листовок в ТЦ)</t>
  </si>
  <si>
    <t>Январь Начислени</t>
  </si>
  <si>
    <t>Январь Статус Оплаты</t>
  </si>
  <si>
    <t>ОК</t>
  </si>
  <si>
    <t>ТЦ</t>
  </si>
  <si>
    <t>8-900-228-11-11 Расул, 8-965-119-05-05 Оврум</t>
  </si>
  <si>
    <t>Февраль Начисления</t>
  </si>
  <si>
    <t>Февраль Статус Оплаты</t>
  </si>
  <si>
    <t>Март Начисления</t>
  </si>
  <si>
    <t>Март Статус Оплаты</t>
  </si>
  <si>
    <t>Апрель Начисления</t>
  </si>
  <si>
    <t>Апрель Статус Оплаты</t>
  </si>
  <si>
    <t>Май Начисления</t>
  </si>
  <si>
    <t>Май Статус Оплаты</t>
  </si>
  <si>
    <t>нет</t>
  </si>
  <si>
    <t xml:space="preserve">нет </t>
  </si>
  <si>
    <t>Бренд</t>
  </si>
  <si>
    <t>Новатерская Вода</t>
  </si>
  <si>
    <t>Белорусские продукты</t>
  </si>
  <si>
    <t>Черкизово</t>
  </si>
  <si>
    <t>Адмирал</t>
  </si>
  <si>
    <t>ООО</t>
  </si>
  <si>
    <t>ИП</t>
  </si>
  <si>
    <t>ГАСТРОНОМ ГРУПП</t>
  </si>
  <si>
    <t>ВЕСНА</t>
  </si>
  <si>
    <t>ПИАНО</t>
  </si>
  <si>
    <t>Июнь Начисления</t>
  </si>
  <si>
    <t>Июнь Статус Оплаты</t>
  </si>
  <si>
    <t>Переплата</t>
  </si>
  <si>
    <t>Общая Сумма Долга</t>
  </si>
  <si>
    <r>
      <t xml:space="preserve">Спецификация № 1 с 06.11.24 по </t>
    </r>
    <r>
      <rPr>
        <sz val="16"/>
        <color rgb="FFFF0000"/>
        <rFont val="Times New Roman"/>
        <family val="1"/>
        <charset val="204"/>
      </rPr>
      <t>05.05.2025г. (Доп. соглашение № 1 до 31.03.2025г.)</t>
    </r>
  </si>
  <si>
    <r>
      <rPr>
        <sz val="16"/>
        <color rgb="FFFF0000"/>
        <rFont val="Times New Roman"/>
        <family val="1"/>
        <charset val="204"/>
      </rPr>
      <t>Спецификация № 2 с 21 августа 2024г. по 16 февраля 2025г</t>
    </r>
    <r>
      <rPr>
        <sz val="16"/>
        <color theme="1"/>
        <rFont val="Times New Roman"/>
        <family val="1"/>
        <charset val="204"/>
      </rPr>
      <t xml:space="preserve"> </t>
    </r>
  </si>
  <si>
    <r>
      <t xml:space="preserve">Спецификация № 1 с 01.10.2024г. по </t>
    </r>
    <r>
      <rPr>
        <sz val="16"/>
        <rFont val="Times New Roman"/>
        <family val="1"/>
        <charset val="204"/>
      </rPr>
      <t xml:space="preserve">31.03.2025г. </t>
    </r>
    <r>
      <rPr>
        <sz val="16"/>
        <color theme="1"/>
        <rFont val="Times New Roman"/>
        <family val="1"/>
        <charset val="204"/>
      </rPr>
      <t>(Доп. Соглашение № 1 по 31.12.2025г.)</t>
    </r>
  </si>
  <si>
    <r>
      <t>Спецификация № 11 с 01.03.2025 по 31</t>
    </r>
    <r>
      <rPr>
        <sz val="16"/>
        <rFont val="Times New Roman"/>
        <family val="1"/>
        <charset val="204"/>
      </rPr>
      <t>.05.2025</t>
    </r>
  </si>
  <si>
    <r>
      <t>Спецификация № 12 с 01.03.2025 по 31</t>
    </r>
    <r>
      <rPr>
        <sz val="16"/>
        <rFont val="Times New Roman"/>
        <family val="1"/>
        <charset val="204"/>
      </rPr>
      <t>.05.2025</t>
    </r>
  </si>
  <si>
    <r>
      <t>Спецификация № 13 с 01.03.2025 по 31</t>
    </r>
    <r>
      <rPr>
        <sz val="16"/>
        <rFont val="Times New Roman"/>
        <family val="1"/>
        <charset val="204"/>
      </rPr>
      <t>.05.2025</t>
    </r>
  </si>
  <si>
    <r>
      <t>Спецификация № 14 с 01.03.2025 по 31</t>
    </r>
    <r>
      <rPr>
        <sz val="16"/>
        <rFont val="Times New Roman"/>
        <family val="1"/>
        <charset val="204"/>
      </rPr>
      <t>.05.2025</t>
    </r>
  </si>
  <si>
    <r>
      <t>Спецификация № 15 с 01.04.2025 по 31</t>
    </r>
    <r>
      <rPr>
        <sz val="16"/>
        <rFont val="Times New Roman"/>
        <family val="1"/>
        <charset val="204"/>
      </rPr>
      <t>.05.2025</t>
    </r>
  </si>
  <si>
    <r>
      <t xml:space="preserve">Спецификация № 1 с 03.02.25 по </t>
    </r>
    <r>
      <rPr>
        <sz val="16"/>
        <rFont val="Times New Roman"/>
        <family val="1"/>
        <charset val="204"/>
      </rPr>
      <t>03.04.25</t>
    </r>
    <r>
      <rPr>
        <sz val="16"/>
        <color theme="1"/>
        <rFont val="Times New Roman"/>
        <family val="1"/>
        <charset val="204"/>
      </rPr>
      <t xml:space="preserve"> (Доп. Соглашение № 1 по 03.05.2025г.)</t>
    </r>
  </si>
  <si>
    <t>Организация</t>
  </si>
  <si>
    <t>ЗОЛОТАЯ РЫБКА</t>
  </si>
  <si>
    <t>КМБ</t>
  </si>
  <si>
    <t>МАГНОЛИЯ</t>
  </si>
  <si>
    <t>OZON</t>
  </si>
  <si>
    <t>СМАРТ СКЛАД</t>
  </si>
  <si>
    <t>Хантинг</t>
  </si>
  <si>
    <t>Моя Стихия</t>
  </si>
  <si>
    <t>Рамай</t>
  </si>
  <si>
    <t>РЕКЛАМНЫЙ ЦЕНТР</t>
  </si>
  <si>
    <t>Золотая Корона</t>
  </si>
  <si>
    <t>8-923-117-41-05 Ольга</t>
  </si>
  <si>
    <t>Медиа-ППЛ</t>
  </si>
  <si>
    <t>Т-Банк</t>
  </si>
  <si>
    <t>8-926-335-07-35 Георгий</t>
  </si>
  <si>
    <t>Кикуни</t>
  </si>
  <si>
    <t>Хинкальная</t>
  </si>
  <si>
    <t>Альянс</t>
  </si>
  <si>
    <t>Альянс Маркет</t>
  </si>
  <si>
    <t>СУПЕРФАРМ</t>
  </si>
  <si>
    <t>Абрамов</t>
  </si>
  <si>
    <t>SenSoy</t>
  </si>
  <si>
    <t>ХОАНГ ТХИ ХЫОНГ ЗАНГ</t>
  </si>
  <si>
    <t>Вершинин Н.В.</t>
  </si>
  <si>
    <t>Аджва</t>
  </si>
  <si>
    <t>Униформа</t>
  </si>
  <si>
    <t xml:space="preserve"> Котова Н.В.</t>
  </si>
  <si>
    <t>АМБИТИКА МЕДИА ПЛЮС</t>
  </si>
  <si>
    <t>Сбер Банк</t>
  </si>
  <si>
    <t>Искар Урал</t>
  </si>
  <si>
    <t>МТС</t>
  </si>
  <si>
    <t>Овакимян В.А.</t>
  </si>
  <si>
    <t>Фантазия</t>
  </si>
  <si>
    <t>Мираторг</t>
  </si>
  <si>
    <t>НАМАСТЕ</t>
  </si>
  <si>
    <t>Индия Хаус</t>
  </si>
  <si>
    <t>ФУДСЭНДГУДС</t>
  </si>
  <si>
    <t>HoReCa</t>
  </si>
  <si>
    <t>ООО/ИП</t>
  </si>
  <si>
    <t>8-925-003-01-02 Татьяна</t>
  </si>
  <si>
    <t xml:space="preserve"> Крыша ТЦ</t>
  </si>
  <si>
    <t>8-952-311-12-54 Павел</t>
  </si>
  <si>
    <t>8-925-775-96-09 Владимир Корсаков</t>
  </si>
  <si>
    <t>Шунько Михаил Михайллович</t>
  </si>
  <si>
    <t xml:space="preserve">8-900-364-99-88 Владимир, 7-985-578-04-10 Михаил Михайлович </t>
  </si>
  <si>
    <t>8-926-253-64-77 Аида</t>
  </si>
  <si>
    <t>8-917-577-17-17 Рашид</t>
  </si>
  <si>
    <t>9 кросс-док</t>
  </si>
  <si>
    <t>Ресторан</t>
  </si>
  <si>
    <t>8-922-416-03-24 Теона</t>
  </si>
  <si>
    <t>8-977-877-36-98 Михаил</t>
  </si>
  <si>
    <t>8-919-732-99-90 Дина</t>
  </si>
  <si>
    <t>Внешняя компания</t>
  </si>
  <si>
    <t>8-905-573-99-11 Наталья</t>
  </si>
  <si>
    <t xml:space="preserve">Внешняя компания </t>
  </si>
  <si>
    <t>8-926-177-15-50 Зана</t>
  </si>
  <si>
    <t>8-926-500-08-00 Никифор</t>
  </si>
  <si>
    <t>8-925-106-63-44 Аишат</t>
  </si>
  <si>
    <t>8-916-409-14-49 Олег</t>
  </si>
  <si>
    <t>8-965-836-80-80 Дарья</t>
  </si>
  <si>
    <t>375-29-899-86-88 (What's app) Нилам</t>
  </si>
  <si>
    <t>8-910-822-30-80 Климент</t>
  </si>
  <si>
    <t>8-925-655-46-18 Дарья</t>
  </si>
  <si>
    <t>Соусы</t>
  </si>
  <si>
    <t>Форма для поваров и официантов</t>
  </si>
  <si>
    <t xml:space="preserve">РД-99 </t>
  </si>
  <si>
    <t xml:space="preserve">20 666,67 </t>
  </si>
  <si>
    <t>8 000,00</t>
  </si>
  <si>
    <t xml:space="preserve">52 500,00 </t>
  </si>
  <si>
    <t>Спецификация № 10 с 01.12.2024 по 28.02.2025г. (Доп. Соглашение № 2 по 31.03.2025г.)</t>
  </si>
  <si>
    <t>Декабрь Приход</t>
  </si>
  <si>
    <t>Январь Приход</t>
  </si>
  <si>
    <t>Оплата изготовления баннеров на столбы</t>
  </si>
  <si>
    <t xml:space="preserve">21.05.2025г. </t>
  </si>
  <si>
    <t>Оплата изготовления рекламы на коллоне в центральном атриуме (1 сторона)</t>
  </si>
  <si>
    <t>2-1-067,2-2-068,2-2-070</t>
  </si>
  <si>
    <t xml:space="preserve">Оплата размещения на Фуре за июнь </t>
  </si>
  <si>
    <t xml:space="preserve">22.05.2025г. </t>
  </si>
  <si>
    <t>Antalia Doner (Ш2В)</t>
  </si>
  <si>
    <t>Реклама</t>
  </si>
  <si>
    <t>16-056/058</t>
  </si>
  <si>
    <t>Оплата изготовления ролл-апп</t>
  </si>
  <si>
    <t>11-002/039</t>
  </si>
  <si>
    <t>18-053/057</t>
  </si>
  <si>
    <t>4-060/066</t>
  </si>
  <si>
    <t>5-019</t>
  </si>
  <si>
    <t>4-052/058</t>
  </si>
  <si>
    <t>Ост. 25-032</t>
  </si>
  <si>
    <t>12-071/075</t>
  </si>
  <si>
    <t>3-102/2-112</t>
  </si>
  <si>
    <t>Общая сумма Приходов</t>
  </si>
  <si>
    <t>Февраль Приход</t>
  </si>
  <si>
    <t>Март Приход</t>
  </si>
  <si>
    <t xml:space="preserve">Апрель Приход </t>
  </si>
  <si>
    <t xml:space="preserve">Май Приход </t>
  </si>
  <si>
    <t>Июнь Приход</t>
  </si>
  <si>
    <t>Дата Договора</t>
  </si>
  <si>
    <t>АПП</t>
  </si>
  <si>
    <t>РЕНТЕР ФИНАНС</t>
  </si>
  <si>
    <t>М/Ф-001</t>
  </si>
  <si>
    <t xml:space="preserve">Приложение № 2 от 01.04.2025г. по 31.05.2025г. </t>
  </si>
  <si>
    <t>01.02.2025г.</t>
  </si>
  <si>
    <t>ОНЛАЙН МЕДИА</t>
  </si>
  <si>
    <t>01.04.2025г.</t>
  </si>
  <si>
    <t>14.01.2025г.</t>
  </si>
  <si>
    <t xml:space="preserve">Приложение № 2 от 01.12.2024г. по 31.03.2025г. </t>
  </si>
  <si>
    <t>9 кросс-док 95/1 ячейка</t>
  </si>
  <si>
    <t xml:space="preserve">24.05.2025г. </t>
  </si>
  <si>
    <t>АО</t>
  </si>
  <si>
    <t>Эст-а-Тет Новостройки</t>
  </si>
  <si>
    <t>Агенство недвижимости</t>
  </si>
  <si>
    <t>Спецификация № 1 с 22.02.25г по 22.02.2025г.</t>
  </si>
  <si>
    <t>8-915-177-13-35 Елена</t>
  </si>
  <si>
    <t>Спецификация № 1 с 23.02.25г по 23.02.2025г.</t>
  </si>
  <si>
    <t>Загородная Усадьба ПОЛАН</t>
  </si>
  <si>
    <t>Вельми</t>
  </si>
  <si>
    <t>Спецификация № 1 с 19.03.25г по 19.03.2025г.</t>
  </si>
  <si>
    <t>8-916-183-25-68 Полина Зяблицкая</t>
  </si>
  <si>
    <t>Юнистрим</t>
  </si>
  <si>
    <t>Спецификация № 1 с 25.03.25г по 26.03.2025г.</t>
  </si>
  <si>
    <t>8-999-716-51-09 Глеб Витальевич Богданов, 8-925-400-19-15 Андрей</t>
  </si>
  <si>
    <t>СПСК</t>
  </si>
  <si>
    <t>СВОЕ</t>
  </si>
  <si>
    <t>Молочная продукция</t>
  </si>
  <si>
    <t>Спецификация № 1 с 26.03.25г по 26.03.2025г.</t>
  </si>
  <si>
    <t>8-911-353-65-88 Юрий</t>
  </si>
  <si>
    <t xml:space="preserve">Приложение № 1 от 01.12.2024г. по 28.02.2025г. </t>
  </si>
  <si>
    <t xml:space="preserve">Приложение № 4 от 01.03.2024г. по 31.05.2025г. </t>
  </si>
  <si>
    <t>Русэнерго</t>
  </si>
  <si>
    <t>Складская техника</t>
  </si>
  <si>
    <t>8-909-169-19-81 Вадим</t>
  </si>
  <si>
    <t xml:space="preserve">Приложение № 1 от 01.03.2025г. по 31.12.2025г. </t>
  </si>
  <si>
    <t>Технический Центр ИНФОРКОМ</t>
  </si>
  <si>
    <t>Грузовой автосервис</t>
  </si>
  <si>
    <t xml:space="preserve">Приложение № 1 от 01.04.2025г. по 30.04.2025г. </t>
  </si>
  <si>
    <t>8-916-500-05-02 Татьяна</t>
  </si>
  <si>
    <t>Спецификация № 1 с 19.11.2024 г. по 18.05.2025г.</t>
  </si>
  <si>
    <t>МТМ</t>
  </si>
  <si>
    <t>ВАНАК</t>
  </si>
  <si>
    <t>Сухофрукты</t>
  </si>
  <si>
    <t>Спецификация № 1 с 30.01.25г по 20.02.2025г.</t>
  </si>
  <si>
    <t>8-916-945-22-58 Масуд</t>
  </si>
  <si>
    <t>Спецификация № 2 с 30.01.25г по 20.02.2025г.</t>
  </si>
  <si>
    <t>02-02-090</t>
  </si>
  <si>
    <t xml:space="preserve">25.05.2025г. </t>
  </si>
  <si>
    <t xml:space="preserve">26.05.2025г. </t>
  </si>
  <si>
    <t>Ост. 12-004</t>
  </si>
  <si>
    <t>14-023</t>
  </si>
  <si>
    <t>10-039</t>
  </si>
  <si>
    <t>14-025</t>
  </si>
  <si>
    <t>Нотариальные переводы Документов</t>
  </si>
  <si>
    <t xml:space="preserve">Оплата размещения за июнь </t>
  </si>
  <si>
    <t xml:space="preserve">27.05.2025г. </t>
  </si>
  <si>
    <t xml:space="preserve">28.05.2025г. </t>
  </si>
  <si>
    <r>
      <rPr>
        <sz val="16"/>
        <color theme="1"/>
        <rFont val="Times New Roman"/>
        <family val="1"/>
        <charset val="204"/>
      </rPr>
      <t>Спецификация № 1 с 21.02.25г. по 20.03.25г.</t>
    </r>
    <r>
      <rPr>
        <sz val="16"/>
        <color rgb="FFFF0000"/>
        <rFont val="Times New Roman"/>
        <family val="1"/>
        <charset val="204"/>
      </rPr>
      <t xml:space="preserve"> </t>
    </r>
    <r>
      <rPr>
        <sz val="16"/>
        <rFont val="Times New Roman"/>
        <family val="1"/>
        <charset val="204"/>
      </rPr>
      <t>(Доп. Соглашение № 1 по 20.04.2025г., Доп. Соглашение № 2 по 20.05.2025г., Доп. Соглашение № 3 по 20.06.2025г</t>
    </r>
  </si>
  <si>
    <t>Даитов Р.М.</t>
  </si>
  <si>
    <t>Транспортная компания</t>
  </si>
  <si>
    <t>ПР-001</t>
  </si>
  <si>
    <t xml:space="preserve">Приложение № 1 от 02.04.2025г. по 23.04.2025г. </t>
  </si>
  <si>
    <t>-</t>
  </si>
  <si>
    <t>Бакалея</t>
  </si>
  <si>
    <t>В-003</t>
  </si>
  <si>
    <t>Спецификация № 1 с 24.04.25г по 21.05.2025г.</t>
  </si>
  <si>
    <t>8-929-550-65-00 Татьяна</t>
  </si>
  <si>
    <t>Приложение № 1 от 01.01.2025г. по 31.03.2025г. (Доп. Соглашение № 1 по 31.12.2025г.)</t>
  </si>
  <si>
    <t>01..01.2025г.</t>
  </si>
  <si>
    <t>8-911-943-83-86 Дмитрий, 8-929-984-56-47 Олег</t>
  </si>
  <si>
    <t>БОСФОР</t>
  </si>
  <si>
    <t>Мехмет Эфенди</t>
  </si>
  <si>
    <t>Кофе</t>
  </si>
  <si>
    <t>РД-014</t>
  </si>
  <si>
    <t>Спецификация № 1 с 01.06.25г по 31.05.2026г.</t>
  </si>
  <si>
    <t>ИНТЕНСИВ МАРКЕТИНГ</t>
  </si>
  <si>
    <t>ПР/У-006</t>
  </si>
  <si>
    <t>Спецификация № 1 с 01.05.25г по 08.05.2025г.</t>
  </si>
  <si>
    <t>8-916-887-35-90 Екатерина</t>
  </si>
  <si>
    <t>Спецификация № 1 с 01.03.25г. по 31.05.25г. (Доп. Соглашение № 1 по 30.04.2025г.)</t>
  </si>
  <si>
    <t>Спецификация № 2 с 01.03.25г. по 31.05.25г. (Доп. Соглашение № 1 по 30.04.2025г.)</t>
  </si>
  <si>
    <t>Спецификация № 3 с 01.03.25г. по 31.05.25г. (Доп. Соглашение № 1 по 30.04.2025г.)</t>
  </si>
  <si>
    <t>Спецификация № 4 с 01.05.25г. по 31.05.25г.</t>
  </si>
  <si>
    <t>Спецификация № 5 с 01.05.25г. по 31.05.25г.</t>
  </si>
  <si>
    <t>Спецификация № 6 с 01.05.25г. по 31.05.25г.</t>
  </si>
  <si>
    <t>Спецификация № 5 с 01.05.2025г. по 30.11.2025г.</t>
  </si>
  <si>
    <t>Спецификация № 6 с 01.05.2025г. по 30.11.2025г.</t>
  </si>
  <si>
    <t>Спецификация № 7 с 01.05.2025г. по 30.11.2025г.</t>
  </si>
  <si>
    <t>Спецификация № 8 с 01.05.2025г. по 30.11.2025г.</t>
  </si>
  <si>
    <t>Спецификация № 1 с 01.02.25 по 30.11.25 (Доп. Соглашение № 1 по 30.04.2025г.)</t>
  </si>
  <si>
    <t>Спецификация № 2 с 01.02.25 по 30.11.25 (Доп. Соглашение № 1 по 30.04.2025г.)</t>
  </si>
  <si>
    <t>Спецификация № 3 с 01.02.25 по 30.11.25 (Доп. Соглашение № 1 по 30.04.2025г.)</t>
  </si>
  <si>
    <t>Спецификация № 4 с 01.03.25г. по 30.11.25 (Доп. Соглашение № 1 по 30.04.2025г.)</t>
  </si>
  <si>
    <t>Олд Мани</t>
  </si>
  <si>
    <t xml:space="preserve">Барвиха Lounge </t>
  </si>
  <si>
    <t xml:space="preserve">Кальянная </t>
  </si>
  <si>
    <t>ПР/У-007</t>
  </si>
  <si>
    <t>Связывается Рональд</t>
  </si>
  <si>
    <t>РД-012</t>
  </si>
  <si>
    <t>ПродМир</t>
  </si>
  <si>
    <t>8-916-092-77-19 Мария</t>
  </si>
  <si>
    <t>Семушка</t>
  </si>
  <si>
    <t>Орехи</t>
  </si>
  <si>
    <t>ПР-002</t>
  </si>
  <si>
    <t xml:space="preserve">Приложение № 1 от 16.04.2025г. по 03.06.2025г. </t>
  </si>
  <si>
    <t>8-999-965-44-66 Эдгар</t>
  </si>
  <si>
    <t>СТОР РИТЕЙЛ</t>
  </si>
  <si>
    <t>t2</t>
  </si>
  <si>
    <t>Оператор связи</t>
  </si>
  <si>
    <t>В-004</t>
  </si>
  <si>
    <t>Спецификация № 1 с 12.05.25г по 02.06.2025г.</t>
  </si>
  <si>
    <t>Оплата размещения на фасаде</t>
  </si>
  <si>
    <t xml:space="preserve">29.05.2025г. </t>
  </si>
  <si>
    <t>Оплата размещения наклеек в гостинице и в хостеле</t>
  </si>
  <si>
    <t>6-014-16</t>
  </si>
  <si>
    <t>КД 9/95/1</t>
  </si>
  <si>
    <t xml:space="preserve">30.05.2025г. </t>
  </si>
  <si>
    <t>Май</t>
  </si>
  <si>
    <t>ВС 1/32</t>
  </si>
  <si>
    <t xml:space="preserve">02.06.2025г. </t>
  </si>
  <si>
    <t>июнь</t>
  </si>
  <si>
    <t>Оплата промо-акции в ТЦ</t>
  </si>
  <si>
    <t xml:space="preserve">03.06.2025г. </t>
  </si>
  <si>
    <t>ФК АТР 5</t>
  </si>
  <si>
    <t>Оплата раздачи листовок-меню</t>
  </si>
  <si>
    <t>Карго</t>
  </si>
  <si>
    <t>Изготовление баннера</t>
  </si>
  <si>
    <t>Размещение баннера</t>
  </si>
  <si>
    <t>СКА 25</t>
  </si>
  <si>
    <t>РД-13</t>
  </si>
  <si>
    <t>Спецификация № 2 с 01.04.2024 по 31.03.2025 г. (Доп. соглашение № 1 до 31.03.2026г.)</t>
  </si>
  <si>
    <t>Спецификация № 3 с 01.04.2024 по 31.03.2025 г. (Доп. соглашение № 1 до 31.03.2026г.)</t>
  </si>
  <si>
    <t>Январь Начисления</t>
  </si>
  <si>
    <t>Спецификация № 1 с 21.02.25г. по 20.05.25г. (Доп. Соглашение № 1 по 20.06.)</t>
  </si>
  <si>
    <t>ФК-7</t>
  </si>
  <si>
    <t>ФК-19</t>
  </si>
  <si>
    <t>1-032</t>
  </si>
  <si>
    <t xml:space="preserve">09.06.2025г. </t>
  </si>
  <si>
    <t>Оплата размещения на входной группе 4</t>
  </si>
  <si>
    <t xml:space="preserve">10.06.2025г. </t>
  </si>
  <si>
    <t>Оплата размещения на рампе</t>
  </si>
  <si>
    <t xml:space="preserve">07.06.2025г. </t>
  </si>
  <si>
    <t>2-08-009</t>
  </si>
  <si>
    <t xml:space="preserve">11.06.2025г. </t>
  </si>
  <si>
    <t>КБ Юнистрим</t>
  </si>
  <si>
    <t>Ли Т.А.</t>
  </si>
  <si>
    <t xml:space="preserve">  </t>
  </si>
  <si>
    <t>РД-010</t>
  </si>
  <si>
    <t>Спецификация № 1 с 01.05.25г по 31.03.2026г.</t>
  </si>
  <si>
    <t>8-925-391-38-90</t>
  </si>
  <si>
    <t xml:space="preserve">    </t>
  </si>
  <si>
    <t>Сиб-Принт</t>
  </si>
  <si>
    <t>Типография</t>
  </si>
  <si>
    <t>В-006</t>
  </si>
  <si>
    <t>Спецификация № 1 с 03.06.25г по 27.06.20255г.</t>
  </si>
  <si>
    <t>8-993-979-58-50 Артем</t>
  </si>
  <si>
    <t>РД-016</t>
  </si>
  <si>
    <t>Спецификация № 1 с 01.07.25г по 31.12.2025г.</t>
  </si>
  <si>
    <t>Спецификация № 2 с 01.07.25г по 31.12.2025г.</t>
  </si>
  <si>
    <t>Июль Начисления</t>
  </si>
  <si>
    <t>Июль Статус Оплаты</t>
  </si>
  <si>
    <t>Чистая прибыль (руб.)</t>
  </si>
  <si>
    <t xml:space="preserve">Оплата производства панель-кронштейн </t>
  </si>
  <si>
    <t xml:space="preserve">13.06.2025г. </t>
  </si>
  <si>
    <t xml:space="preserve">Оплата размещения </t>
  </si>
  <si>
    <t xml:space="preserve">16.06.2025г. </t>
  </si>
  <si>
    <t>Спецификация № 9 с 01.07.2025г. по 30.11.2025г.</t>
  </si>
  <si>
    <t>Спецификация № 10 с 01.07.2025г. по 30.11.2025г.</t>
  </si>
  <si>
    <t>Спецификация № 11 с 01.07.2025г. по 30.11.2025г.</t>
  </si>
  <si>
    <t>Спецификация № 12 с 01.07.2025г. по 30.11.2025г.</t>
  </si>
  <si>
    <t>2-1-069 (Авиа Карго)</t>
  </si>
  <si>
    <t>Размещение 2-х ролл-апов</t>
  </si>
  <si>
    <t>БАРАКАТ ГРУПП</t>
  </si>
  <si>
    <t>Фрукты</t>
  </si>
  <si>
    <t>В-005</t>
  </si>
  <si>
    <t>Спецификация № 1 с 03.06.25г по 11.07.2025г.</t>
  </si>
  <si>
    <t>8-929-873-07-00 Джейхун</t>
  </si>
  <si>
    <t>Оплата размещения 3-х ролл-аппов за июнь</t>
  </si>
  <si>
    <t xml:space="preserve">17.06.2025г. </t>
  </si>
  <si>
    <t>Июль Приход</t>
  </si>
  <si>
    <t>Кафе "Шамкир"</t>
  </si>
  <si>
    <t xml:space="preserve">18.06.2025г. </t>
  </si>
  <si>
    <t xml:space="preserve">Парикмахерская 2-1-067/070 </t>
  </si>
  <si>
    <t xml:space="preserve">19.06.2025г. </t>
  </si>
  <si>
    <t>Кафе "Шамкирский дворик"</t>
  </si>
  <si>
    <t xml:space="preserve">20.06.2025г. </t>
  </si>
  <si>
    <t>Ост. 2-4-008 (часы)</t>
  </si>
  <si>
    <t>Оплата промо акции</t>
  </si>
  <si>
    <t xml:space="preserve">23.06.2025г. </t>
  </si>
  <si>
    <t>Реф. Контейнер "Наша Камчатка".</t>
  </si>
  <si>
    <t>Роял Мубарак</t>
  </si>
  <si>
    <t>Ежемесячная оплата за рекламу</t>
  </si>
  <si>
    <t xml:space="preserve">24.06.2025г. </t>
  </si>
  <si>
    <t>Контейнеры на зоне перегруза</t>
  </si>
  <si>
    <t>Оплата производства баннеров</t>
  </si>
  <si>
    <t>Чайхана "Анор"</t>
  </si>
  <si>
    <t>Оплата производства баннеров и наклеек</t>
  </si>
  <si>
    <t xml:space="preserve">25.06.2025г. </t>
  </si>
  <si>
    <t>Ост. 22-042</t>
  </si>
  <si>
    <t>А-024</t>
  </si>
  <si>
    <t xml:space="preserve">26.06.2025г. </t>
  </si>
  <si>
    <t>А-036, 2-4-020</t>
  </si>
  <si>
    <t>Оплата размещения щита</t>
  </si>
  <si>
    <t>2-3-078</t>
  </si>
  <si>
    <t xml:space="preserve">30.06.2025г. </t>
  </si>
  <si>
    <t>Оплата изготовления одного баннера</t>
  </si>
  <si>
    <t xml:space="preserve">29.06.2025г. </t>
  </si>
  <si>
    <t>Июнь</t>
  </si>
  <si>
    <t>РД-017</t>
  </si>
  <si>
    <t>ПАРК-001</t>
  </si>
  <si>
    <t>Склад 1/26</t>
  </si>
  <si>
    <t xml:space="preserve">01.07.2025г. </t>
  </si>
  <si>
    <t>июль</t>
  </si>
  <si>
    <t>Пав. 2-1-053/055</t>
  </si>
  <si>
    <t>Вывеска - 1 часть</t>
  </si>
  <si>
    <t>Ереван Food (пав. 15-029/15-014/15-023)</t>
  </si>
  <si>
    <t>FUGU Рыбный магазин</t>
  </si>
  <si>
    <t>Производство и монтаж баннеров и вывески</t>
  </si>
  <si>
    <t xml:space="preserve">02.07.2025г. </t>
  </si>
  <si>
    <t>Оплата размещение на щитах за июль</t>
  </si>
  <si>
    <t xml:space="preserve">03.07.2025г. </t>
  </si>
  <si>
    <t>Карго 1858</t>
  </si>
  <si>
    <t>Оплата изготовления и монтаж пленки</t>
  </si>
  <si>
    <t xml:space="preserve">04.07.2025г. </t>
  </si>
  <si>
    <t>УРК 68-69</t>
  </si>
  <si>
    <t>УРК 63-64</t>
  </si>
  <si>
    <t>ФК-17 (Тандыр Кебаб)</t>
  </si>
  <si>
    <t>Ресторан ФоБо Нами</t>
  </si>
  <si>
    <t>Ресторан КулиБодом</t>
  </si>
  <si>
    <t>Оплата размещения на щитах</t>
  </si>
  <si>
    <t xml:space="preserve">07.07.2025г. </t>
  </si>
  <si>
    <t>Оплата производство баннера</t>
  </si>
  <si>
    <t>Оплата второй части за производство</t>
  </si>
  <si>
    <t>Оплата первой части за производство</t>
  </si>
  <si>
    <t>Ковры</t>
  </si>
  <si>
    <t xml:space="preserve">08.07.2025г. </t>
  </si>
  <si>
    <t xml:space="preserve">09.07.2025г. </t>
  </si>
  <si>
    <t>Оплата производства и монтаж (мороженное ПВХ)</t>
  </si>
  <si>
    <t>Оплата размещения за июль на фуре</t>
  </si>
  <si>
    <t xml:space="preserve">Оплата производства двух колонн </t>
  </si>
  <si>
    <t>Оплата производства лицевой поверхности на вывеске</t>
  </si>
  <si>
    <t>ФК-18 (Кафе Хан)</t>
  </si>
  <si>
    <t xml:space="preserve">Оплата размещения колонн </t>
  </si>
  <si>
    <t xml:space="preserve">10.07.2025г. </t>
  </si>
  <si>
    <t>РК 1-2</t>
  </si>
  <si>
    <t>РК 7-8</t>
  </si>
  <si>
    <t>FlorEzzy (пав. 24-009/011)</t>
  </si>
  <si>
    <t>Дизайн (вывески)</t>
  </si>
  <si>
    <t xml:space="preserve">11.07.2025г. </t>
  </si>
  <si>
    <t>Август Начисления</t>
  </si>
  <si>
    <t>Август Статус Оплаты</t>
  </si>
  <si>
    <t>Спецификация № 1 с 01.07.2024 г. по 30.06.2025 г. (Дополнительное соглашение № 1 по 30.06.2026г.)</t>
  </si>
  <si>
    <r>
      <t xml:space="preserve">Спецификация № 2 с 01.07.2024 г. по </t>
    </r>
    <r>
      <rPr>
        <sz val="16"/>
        <color theme="7" tint="-0.249977111117893"/>
        <rFont val="Times New Roman"/>
        <family val="1"/>
        <charset val="204"/>
      </rPr>
      <t>30.06.2025 г.</t>
    </r>
    <r>
      <rPr>
        <sz val="16"/>
        <color theme="1"/>
        <rFont val="Times New Roman"/>
        <family val="1"/>
        <charset val="204"/>
      </rPr>
      <t xml:space="preserve"> (Дополнительное соглашение № 1 по 30.06.2026г.)</t>
    </r>
  </si>
  <si>
    <t xml:space="preserve">Спецификация № 1 с 01.04.25г. по 31.03.26г. </t>
  </si>
  <si>
    <t>Спецификация № 1 с 03.06.25г по 27.06.2025г.</t>
  </si>
  <si>
    <t>Спецификация № 1 с 01.05.25г по 31.07.2025г. (Дополнительное соглашение № 1 до 12.08.2025г.)</t>
  </si>
  <si>
    <t>Барбершоп</t>
  </si>
  <si>
    <t>Оплата ежемесячного размещения на рампе</t>
  </si>
  <si>
    <t>Оплата изготовления вывески</t>
  </si>
  <si>
    <t xml:space="preserve">12.07.2025г. </t>
  </si>
  <si>
    <t>СКА 6</t>
  </si>
  <si>
    <t xml:space="preserve">14.07.2025г. </t>
  </si>
  <si>
    <t xml:space="preserve">Оплата изготовления и монтаж баннера на фасад </t>
  </si>
  <si>
    <t>Оплата изготовления и монтаж пленки на входную группу</t>
  </si>
  <si>
    <t>2-1-074/76</t>
  </si>
  <si>
    <t>Оплата ежемесячного размещения на 2 щитах за июль</t>
  </si>
  <si>
    <t>Магазин у метро 1М</t>
  </si>
  <si>
    <t>Оплата изготовления и монтаж объемных букв</t>
  </si>
  <si>
    <t xml:space="preserve">Оплата ежемесячного размещения </t>
  </si>
  <si>
    <t>Оплата ежемесячного размещения на щите</t>
  </si>
  <si>
    <t xml:space="preserve">15.07.2025г. </t>
  </si>
  <si>
    <t>ИП Юшваев</t>
  </si>
  <si>
    <t>Бэрякэт</t>
  </si>
  <si>
    <t>Промо акция в ТЦ</t>
  </si>
  <si>
    <t xml:space="preserve">16.07.2025г. </t>
  </si>
  <si>
    <t>Оплата ежемесячного размещения на Фуре</t>
  </si>
  <si>
    <t>Оплата размещения 3 ролл-аппов</t>
  </si>
  <si>
    <t>Магазин у метро 5М</t>
  </si>
  <si>
    <t>Оплата изготовления и монтаж вывески</t>
  </si>
  <si>
    <t xml:space="preserve">17.07.2025г. </t>
  </si>
  <si>
    <t>Магазин у метро 16М-17М</t>
  </si>
  <si>
    <t>2-3-108</t>
  </si>
  <si>
    <t>Оплата размещения одного ролл-аппа в ТЦ (50% скидка)</t>
  </si>
  <si>
    <t xml:space="preserve">18.07.2025г. </t>
  </si>
  <si>
    <t xml:space="preserve">21.07.2025г. </t>
  </si>
  <si>
    <t>Оплата изготовления 2 части вывески</t>
  </si>
  <si>
    <t>РК 19-20</t>
  </si>
  <si>
    <t xml:space="preserve">22.07.2025г. </t>
  </si>
  <si>
    <t>Оплата размещения на 2 щитах за август (50% скидка)</t>
  </si>
  <si>
    <t>Мараш Кафе</t>
  </si>
  <si>
    <t>Промо-акция (раздача листовок меню)</t>
  </si>
  <si>
    <t xml:space="preserve">23.07.2025г. </t>
  </si>
  <si>
    <t>ООО "Ансар"</t>
  </si>
  <si>
    <t xml:space="preserve">Оплата 2 части изготовления и монтажа вывески </t>
  </si>
  <si>
    <t>Adit (внешняя компания)</t>
  </si>
  <si>
    <t xml:space="preserve">24.07.2025г. </t>
  </si>
  <si>
    <t>2-1-032/034</t>
  </si>
  <si>
    <t>10-005/009</t>
  </si>
  <si>
    <t>ФК7</t>
  </si>
  <si>
    <t>Оплата размещения за август 6 вход</t>
  </si>
  <si>
    <t xml:space="preserve">25.07.2025г. </t>
  </si>
  <si>
    <t>магазин у метро 14М</t>
  </si>
  <si>
    <t>ФоБоНами и Кулибодом</t>
  </si>
  <si>
    <t>Оплата размещения 2 щитов и колонны</t>
  </si>
  <si>
    <t xml:space="preserve">28.07.2025г. </t>
  </si>
  <si>
    <t>Размещение на фасаде, фуре и входных группах</t>
  </si>
  <si>
    <t>Размещение щитов за август</t>
  </si>
  <si>
    <t>Wildberries (2-2-101-107)</t>
  </si>
  <si>
    <t>Оплата размещения на фасаде за июнь и июль</t>
  </si>
  <si>
    <t>Пав. 7-084</t>
  </si>
  <si>
    <t xml:space="preserve">30.07.2025г. </t>
  </si>
  <si>
    <t>ФК-15 (Чикен Планет)</t>
  </si>
  <si>
    <t xml:space="preserve">31.07.2025г. </t>
  </si>
  <si>
    <t>Июль</t>
  </si>
  <si>
    <t xml:space="preserve">Промо акция на всей  территории </t>
  </si>
  <si>
    <t>Магазин у метро 18М</t>
  </si>
  <si>
    <t>2 комплекта вывесок</t>
  </si>
  <si>
    <t xml:space="preserve">Оплата 1 части изготовления и монтажа вывески </t>
  </si>
  <si>
    <t>19.07.2025г.</t>
  </si>
  <si>
    <t>магазин у метро 2М-3М</t>
  </si>
  <si>
    <t xml:space="preserve">01.08.2025г. </t>
  </si>
  <si>
    <t>август</t>
  </si>
  <si>
    <t>МИНИ ОПТ (45-56)</t>
  </si>
  <si>
    <t>Магазин Victoria</t>
  </si>
  <si>
    <t>Оплата размещения за Фуре</t>
  </si>
  <si>
    <t xml:space="preserve"> СКС 4-5-6</t>
  </si>
  <si>
    <t>Оплата ежемесячного размещения</t>
  </si>
  <si>
    <t xml:space="preserve">04.08.2025г. </t>
  </si>
  <si>
    <t>Павильон 1-С</t>
  </si>
  <si>
    <t xml:space="preserve">Оформление павильона (баннер с люверсами) </t>
  </si>
  <si>
    <t xml:space="preserve">05.08.2025г. </t>
  </si>
  <si>
    <t>Пав. 2-22-060,2-22-062,2-22-064</t>
  </si>
  <si>
    <t xml:space="preserve">06.08.2025г. </t>
  </si>
  <si>
    <t>Оплата производства ПВХ таблички</t>
  </si>
  <si>
    <t>Август Статус оплаты</t>
  </si>
  <si>
    <t>Пав. 2-4-077/87 (Ковры)</t>
  </si>
  <si>
    <t>Агросемцентр</t>
  </si>
  <si>
    <t>Семена</t>
  </si>
  <si>
    <t>ПР/У-009</t>
  </si>
  <si>
    <t>Спецификация № 1 с 01.07.25г по 01.07.2025г.</t>
  </si>
  <si>
    <t>8-917-830-88-18 Михаил</t>
  </si>
  <si>
    <t>Евгения</t>
  </si>
  <si>
    <t>АЙ-ПИ-ЭС ГРУПП</t>
  </si>
  <si>
    <t>РСС-001</t>
  </si>
  <si>
    <t>8-985-348-09-68 Заира</t>
  </si>
  <si>
    <t>СЗ СтартСК</t>
  </si>
  <si>
    <t>Строительная компания</t>
  </si>
  <si>
    <t>Застройшик</t>
  </si>
  <si>
    <t>ПР/У-010</t>
  </si>
  <si>
    <t>Спецификация № 1 с 26.07.25г по 26.07.2025г.</t>
  </si>
  <si>
    <r>
      <t xml:space="preserve">Спецификация № 1 с 01.07.2024 г. по </t>
    </r>
    <r>
      <rPr>
        <sz val="16"/>
        <color theme="7" tint="-0.249977111117893"/>
        <rFont val="Times New Roman"/>
        <family val="1"/>
        <charset val="204"/>
      </rPr>
      <t>30.06.2025 г.</t>
    </r>
    <r>
      <rPr>
        <sz val="16"/>
        <color theme="1"/>
        <rFont val="Times New Roman"/>
        <family val="1"/>
        <charset val="204"/>
      </rPr>
      <t xml:space="preserve"> (Дополнительное соглашение № 2 по 31.07.2025г.)</t>
    </r>
  </si>
  <si>
    <r>
      <t>Спецификация № 2 с 01.08.2025 г. п</t>
    </r>
    <r>
      <rPr>
        <sz val="16"/>
        <rFont val="Times New Roman"/>
        <family val="1"/>
        <charset val="204"/>
      </rPr>
      <t>о 31.07.2026 г.</t>
    </r>
    <r>
      <rPr>
        <sz val="16"/>
        <color theme="1"/>
        <rFont val="Times New Roman"/>
        <family val="1"/>
        <charset val="204"/>
      </rPr>
      <t xml:space="preserve"> </t>
    </r>
  </si>
  <si>
    <r>
      <t xml:space="preserve">Спецификация № 2 с 01.08.2025г. по </t>
    </r>
    <r>
      <rPr>
        <sz val="16"/>
        <rFont val="Times New Roman"/>
        <family val="1"/>
        <charset val="204"/>
      </rPr>
      <t xml:space="preserve">31.12.2025г. </t>
    </r>
  </si>
  <si>
    <t>РЫБНЫЙ ПОРТ</t>
  </si>
  <si>
    <t>Рыба</t>
  </si>
  <si>
    <t>РД-020</t>
  </si>
  <si>
    <t xml:space="preserve">Спецификация № 1 с 01.08.25г по 31.01.2026г. </t>
  </si>
  <si>
    <t>Приложение № 1 от 01.08.2025г. по 31.01.2026г.</t>
  </si>
  <si>
    <t>ТАК</t>
  </si>
  <si>
    <t>Рольф</t>
  </si>
  <si>
    <t xml:space="preserve">Автомобили </t>
  </si>
  <si>
    <t>РД-018</t>
  </si>
  <si>
    <t xml:space="preserve">Спецификация № 1 с 01.08.25г по 31.08.2025г. </t>
  </si>
  <si>
    <t xml:space="preserve">Спецификация № 2 с 01.08.25г по 31.08.2025г. </t>
  </si>
  <si>
    <t>8-977-771-22-92 Анна; 8-937-618-28-50 Яна</t>
  </si>
  <si>
    <t>ПАРК-002</t>
  </si>
  <si>
    <t xml:space="preserve">Приложение № 1 от 01.08.2025г. по 31.08.2025г. </t>
  </si>
  <si>
    <t>ТАРАНТАСИК</t>
  </si>
  <si>
    <t>СТ</t>
  </si>
  <si>
    <t>Электротранспорт</t>
  </si>
  <si>
    <t>РД-019</t>
  </si>
  <si>
    <t>8-906-889-87-23 Анна</t>
  </si>
  <si>
    <t>СЭФ-004</t>
  </si>
  <si>
    <t xml:space="preserve">Приложение № 1 от 01.08.2025г. по 30.09.2025 г. (Дополнительное соглашение № 1 с 23.07.2025 г. по 20.09.2025 г.) </t>
  </si>
  <si>
    <t>Спецификация № 1 с 01.08.25г по 30.09.2025г. (Дополнительное соглашение № 1 с 23.07.2025 г. по 20.09.2025 г. )</t>
  </si>
  <si>
    <t>Август Приход</t>
  </si>
  <si>
    <r>
      <rPr>
        <sz val="16"/>
        <color theme="1"/>
        <rFont val="Times New Roman"/>
        <family val="1"/>
        <charset val="204"/>
      </rPr>
      <t>Спецификация № 2 с 01.07.25г. по 31.07.25г.</t>
    </r>
    <r>
      <rPr>
        <sz val="16"/>
        <color rgb="FFFF0000"/>
        <rFont val="Times New Roman"/>
        <family val="1"/>
        <charset val="204"/>
      </rPr>
      <t xml:space="preserve"> </t>
    </r>
    <r>
      <rPr>
        <sz val="16"/>
        <rFont val="Times New Roman"/>
        <family val="1"/>
        <charset val="204"/>
      </rPr>
      <t>(Доп. Соглашение № 4 по 01.08.2025г. По 31.08.2025 г.)</t>
    </r>
  </si>
  <si>
    <t>Сентябрь начисления</t>
  </si>
  <si>
    <t>Сентябрь статус оплаты</t>
  </si>
  <si>
    <r>
      <t xml:space="preserve">Спецификация № 1 с 01 июля 2024г. </t>
    </r>
    <r>
      <rPr>
        <sz val="16"/>
        <color rgb="FF00B050"/>
        <rFont val="Times New Roman"/>
        <family val="1"/>
        <charset val="204"/>
      </rPr>
      <t xml:space="preserve">по 30 июня 2025г. </t>
    </r>
    <r>
      <rPr>
        <sz val="16"/>
        <color theme="1"/>
        <rFont val="Times New Roman"/>
        <family val="1"/>
        <charset val="204"/>
      </rPr>
      <t xml:space="preserve"> (Дополнительное соглашение № 1 до 30.06.2026г.)</t>
    </r>
  </si>
  <si>
    <r>
      <t xml:space="preserve">Спецификация № 2 с 01 июля 2024г. по </t>
    </r>
    <r>
      <rPr>
        <sz val="16"/>
        <color rgb="FF00B050"/>
        <rFont val="Times New Roman"/>
        <family val="1"/>
        <charset val="204"/>
      </rPr>
      <t xml:space="preserve">30 июня 2025г. </t>
    </r>
    <r>
      <rPr>
        <sz val="16"/>
        <color theme="1"/>
        <rFont val="Times New Roman"/>
        <family val="1"/>
        <charset val="204"/>
      </rPr>
      <t>(Дополнительное соглашение № 1 до 30.06.2026г.)</t>
    </r>
  </si>
  <si>
    <t>01.08.2025г.</t>
  </si>
  <si>
    <t xml:space="preserve">Приложение № 2 от 01.08.2025г. по 30.09.2025г. </t>
  </si>
  <si>
    <t>СЭФ-005</t>
  </si>
  <si>
    <t>Кафе Халва и Tasty (Ц2-17)</t>
  </si>
  <si>
    <t>Оплата раздачи листовок</t>
  </si>
  <si>
    <t xml:space="preserve">07.08.2025г. </t>
  </si>
  <si>
    <t>МИНИ ОПТ (45-56), кроме 49,50</t>
  </si>
  <si>
    <t>Оплата изготовления баннеров</t>
  </si>
  <si>
    <t xml:space="preserve">08.08.2025г. </t>
  </si>
  <si>
    <t xml:space="preserve">Парикмахерская Аврора </t>
  </si>
  <si>
    <t>Павильон 2-7-001 (Мужская оджеда и обувь)</t>
  </si>
  <si>
    <t>Вывеска (2 вывески и 2 панель-кронштейн)</t>
  </si>
  <si>
    <t xml:space="preserve">12.08.2025г. </t>
  </si>
  <si>
    <t>Кафе "Каспий"</t>
  </si>
  <si>
    <t>Монтаж баннера</t>
  </si>
  <si>
    <t xml:space="preserve">13.08.2025г. </t>
  </si>
  <si>
    <t>2-2-090 (Шторы)</t>
  </si>
  <si>
    <t>ФК-13 ("Плов Центр")</t>
  </si>
  <si>
    <t>Оплата производства 2 ПВХ табличек</t>
  </si>
  <si>
    <t>Кафе Хан (ФК-18)</t>
  </si>
  <si>
    <t xml:space="preserve">18.08.2025г. </t>
  </si>
  <si>
    <t>Пав. А2-103</t>
  </si>
  <si>
    <t>Магазин Виктория</t>
  </si>
  <si>
    <t>Оплата размещения за Фуре (сентябрь)</t>
  </si>
  <si>
    <t>ИП Юшваев (Планета Алкоголя)</t>
  </si>
  <si>
    <t>Оплата размещения щита на кросс-доках</t>
  </si>
  <si>
    <t xml:space="preserve">19.08.2025г. </t>
  </si>
  <si>
    <t>Пав. 8-049/053, 9-058-062, 23-031</t>
  </si>
  <si>
    <t>Пав. 2-4-075</t>
  </si>
  <si>
    <t xml:space="preserve">21.08.2025г. </t>
  </si>
  <si>
    <t>Оплата ежемесячного размещения на ролл-аппов</t>
  </si>
  <si>
    <t xml:space="preserve">22.08.2025г. </t>
  </si>
  <si>
    <t>Ресторан ФоБо Нами и Кулибодом</t>
  </si>
  <si>
    <t>2-1-067/2-068/070</t>
  </si>
  <si>
    <t xml:space="preserve">24.08.2025г. </t>
  </si>
  <si>
    <t>25-037</t>
  </si>
  <si>
    <t>МИНИ ОПТ 29/1</t>
  </si>
  <si>
    <t>Оплата производства баннера с люверсами</t>
  </si>
  <si>
    <t xml:space="preserve">25.08.2025г. </t>
  </si>
  <si>
    <t>Оплата ежемесячного размещения ролл-аппов</t>
  </si>
  <si>
    <t>Оплата ежемесячного размещения на щитах за сентябрь</t>
  </si>
  <si>
    <t>Wildberries</t>
  </si>
  <si>
    <t>Оплата ежемесячного размещения на фасаде за август</t>
  </si>
  <si>
    <t xml:space="preserve">26.08.2025г. </t>
  </si>
  <si>
    <t>ФК-7, 14-17/021</t>
  </si>
  <si>
    <t xml:space="preserve">27.08.2025г. </t>
  </si>
  <si>
    <t>Оплата размещения на входной группе 6 до 27 декабря</t>
  </si>
  <si>
    <t>ИП Петров А.А.</t>
  </si>
  <si>
    <t xml:space="preserve">28.08.2025г. </t>
  </si>
  <si>
    <t>Пав. 2-3-027</t>
  </si>
  <si>
    <t xml:space="preserve">29.08.2025г. </t>
  </si>
  <si>
    <t>пав. 25-037</t>
  </si>
  <si>
    <t>Вывеска и панель-кронштейн</t>
  </si>
  <si>
    <t>Август</t>
  </si>
  <si>
    <t xml:space="preserve">01.09.2025г. </t>
  </si>
  <si>
    <t>сентябрь</t>
  </si>
  <si>
    <t>2-1-020</t>
  </si>
  <si>
    <t>Оплата промо акции 2 сентября</t>
  </si>
  <si>
    <t>Магазин "Виктория"</t>
  </si>
  <si>
    <t xml:space="preserve">02.09.2025г. </t>
  </si>
  <si>
    <t>ТСБ Север (СК 4,5,6)</t>
  </si>
  <si>
    <t>Пав. 2-16-020-022</t>
  </si>
  <si>
    <t xml:space="preserve">03.09.2025г. </t>
  </si>
  <si>
    <t>Оплата ежемесячного размещения на 3 щитах</t>
  </si>
  <si>
    <t>Оплата ежемесячного размещения на фасаде, вх. группе, фуре за сентябрь</t>
  </si>
  <si>
    <t xml:space="preserve">04.09.2025г. </t>
  </si>
  <si>
    <t>Ресторан "Плов-Центр" (ФК-13)</t>
  </si>
  <si>
    <t xml:space="preserve">05.09.2025г. </t>
  </si>
  <si>
    <t>УРК 58</t>
  </si>
  <si>
    <t>Пав. 2-6-041</t>
  </si>
  <si>
    <t xml:space="preserve">08.09.2025г. </t>
  </si>
  <si>
    <t xml:space="preserve">06.09.2025г. </t>
  </si>
  <si>
    <t>Оплата производства наклеек на холодильник</t>
  </si>
  <si>
    <t xml:space="preserve">11.09.2025г. </t>
  </si>
  <si>
    <t>Оплата изготовления, монтаж, демонтаж 2х баннеров на щит между 9 и 10 кросс-доком</t>
  </si>
  <si>
    <t>Барбершоп Аврора</t>
  </si>
  <si>
    <t>Оплата производства пленки для обклейки островка</t>
  </si>
  <si>
    <t xml:space="preserve">12.09.2025г. </t>
  </si>
  <si>
    <t>7-085-087</t>
  </si>
  <si>
    <t xml:space="preserve">16.09.2025г. </t>
  </si>
  <si>
    <t>СКА 24</t>
  </si>
  <si>
    <t>Демонтаж и монтаж вывески</t>
  </si>
  <si>
    <t xml:space="preserve">17.09.2025г. </t>
  </si>
  <si>
    <t>Аванс за вывеску</t>
  </si>
  <si>
    <t xml:space="preserve">18.09.2025г. </t>
  </si>
  <si>
    <t>Вывеска 2 часть</t>
  </si>
  <si>
    <t>Мини-Опт 51 ячейка</t>
  </si>
  <si>
    <t xml:space="preserve">22.09.2025г. </t>
  </si>
  <si>
    <t>2-21-051</t>
  </si>
  <si>
    <t>2-18-077,79; 2-19-080-082</t>
  </si>
  <si>
    <t>Оплата изготовления щита</t>
  </si>
  <si>
    <t>Оплата размещения ролл-Up</t>
  </si>
  <si>
    <t xml:space="preserve">23.09.2025г. </t>
  </si>
  <si>
    <t xml:space="preserve">21.09.2025г. </t>
  </si>
  <si>
    <t>2-3-106</t>
  </si>
  <si>
    <t>А-036</t>
  </si>
  <si>
    <t xml:space="preserve">24.09.2025г. </t>
  </si>
  <si>
    <t>2-4-075</t>
  </si>
  <si>
    <t>2-22-060/062/064</t>
  </si>
  <si>
    <t>Магазин у метро 15 М</t>
  </si>
  <si>
    <t>2-1-067-70</t>
  </si>
  <si>
    <t xml:space="preserve">26.09.2025г. </t>
  </si>
  <si>
    <t>5-038</t>
  </si>
  <si>
    <t xml:space="preserve">29.09.2025г. </t>
  </si>
  <si>
    <t>Сентябрь</t>
  </si>
  <si>
    <t>ФК "ФОБО Нами"</t>
  </si>
  <si>
    <t xml:space="preserve">25.09.2025г. </t>
  </si>
  <si>
    <t>октябрь</t>
  </si>
  <si>
    <t>Октябрь начисления</t>
  </si>
  <si>
    <t>Октябрь статус оплаты</t>
  </si>
  <si>
    <t xml:space="preserve">Спецификация № 5 с 01.09.25г. по 31.10.25г. </t>
  </si>
  <si>
    <t xml:space="preserve">Спецификация № 6 с 01.09.25г. по 31.10.25г. </t>
  </si>
  <si>
    <t xml:space="preserve">Спецификация № 7 с 01.09.25г. по 31.10.25г. </t>
  </si>
  <si>
    <t xml:space="preserve">Спецификация № 8 с 01.09.25г. по 31.10.25г. </t>
  </si>
  <si>
    <t xml:space="preserve">Приложение № 3 от 01.09.2025г. по 31.10.2025г. </t>
  </si>
  <si>
    <t>ГРУЗЧИКИ.РУ</t>
  </si>
  <si>
    <t>Услуги</t>
  </si>
  <si>
    <t>РД-021</t>
  </si>
  <si>
    <t>Спецификация № 1 с 01.09.25г по 30.09.2025г. (Дополнительное соглашение № 1 до 31.10.2025г.)</t>
  </si>
  <si>
    <t>8-906-766-55-69 Дмитрий</t>
  </si>
  <si>
    <t>КЕЖОФУУДС</t>
  </si>
  <si>
    <t>СЭФ-006</t>
  </si>
  <si>
    <t>Приложение № 1 от 01.09.2025г. по 30.09.2025 г.</t>
  </si>
  <si>
    <t>Коммуникационное агенство Эд Марк</t>
  </si>
  <si>
    <t>Мобильный оператор</t>
  </si>
  <si>
    <t>М/Ф-007</t>
  </si>
  <si>
    <t xml:space="preserve">Приложение № 1 от 11.08.2025г. по 10.10.2025г. </t>
  </si>
  <si>
    <t>ЭКВИТИ</t>
  </si>
  <si>
    <t>М/Ф-010</t>
  </si>
  <si>
    <t>СЭФ-007</t>
  </si>
  <si>
    <t xml:space="preserve">Приложение № 1 от 01.09.2025г. по 30.11.2025г. </t>
  </si>
  <si>
    <t>Приложение № 1 от 01.06.2025г. по 31.08.2025г.  ( Дополнительное соглашение № 1 по 31.10.2025 г. и Дополнительное соглашение № 2 по 31.12.2025 г.)</t>
  </si>
  <si>
    <t>Приложение № 2 от 01.06.2025г. по 31.08.2025г.  ( Приложение № 3 по 31.10.2025 г.,  Приложение № 3 по 31.12.2025 г.)</t>
  </si>
  <si>
    <t>Спецификация № 2 с 01.06.25г по 31.08.2025г. ( Дополнительное соглашение № 1 по 31.10.2025 г. и Дополнительное соглашение № 2 по 30.09.2025 г.)</t>
  </si>
  <si>
    <t>Спецификация № 3 с 01.06.25г по 31.08.2025г. ( Дополнительное соглашение № 1 по 31.10.2025 г. и Дополнительное соглашение № 2 по 30.09.2025 г.)</t>
  </si>
  <si>
    <t>Спецификация № 4 с 01.06.25г по 31.08.2025г.   Дополнительное соглашение № 1 по 31.10.2025 г. и Дополнительное соглашение № 2 по 30.09.2025 г.)</t>
  </si>
  <si>
    <t>Спецификация № 6 с 01.06.25г по 31.08.2025г.  ( Дополнительное соглашение № 1 по 31.10.2025 г. и Дополнительное соглашение № 2 по 30.09.2025 г.)</t>
  </si>
  <si>
    <t>Спецификация № 7 с 01.08.25г по 31.10.2025г.  ( Дополнительное соглашение № 3 по 31.12.2025 г.)</t>
  </si>
  <si>
    <t>Спецификация № 8 с 01.10.25г по 31.10.2025г.  ( Дополнительное соглашение № 3 по 31.12.2025 г.)</t>
  </si>
  <si>
    <t>Спецификация № 9 с 01.10.25г по 31.10.2025г.  ( Дополнительное соглашение № 3 по 31.12.2025 г.)</t>
  </si>
  <si>
    <t>Спецификация № 10 с 01.10.25г по 31.10.2025г.  ( Дополнительное соглашение № 3 по 31.12.2025 г.)</t>
  </si>
  <si>
    <t>Спецификация № 11 с 01.10.25г по 31.10.2025г.  ( Дополнительное соглашение № 3 по 31.12.2025 г.)</t>
  </si>
  <si>
    <t>Спецификация № 1 с 01.06.25г по 31.08.2025г.( Дополнительное соглашение № 1 по 31.10.2025 г. и Дополнительное соглашение № 3 до 31.12.2025г.)</t>
  </si>
  <si>
    <t>Спецификация № 5 с 01.06.25г по 31.08.2025г.  ( Дополнительное соглашение № 1 по 31.10.2025 г.  Дополнительное соглашение № 3 до 31.12.2025г)</t>
  </si>
  <si>
    <t xml:space="preserve">30.09.2025г. </t>
  </si>
  <si>
    <t>Оплата ежемесячного размещения (октябрь: фура, короб на фасаде, входные группы)</t>
  </si>
  <si>
    <t>8-926-819-80-19 Павел</t>
  </si>
  <si>
    <t>8-968-836-80-80 Дарья Дьячкова</t>
  </si>
  <si>
    <t>8-993-603-02-81 Мария</t>
  </si>
  <si>
    <t xml:space="preserve"> Нотариальный перевод документов</t>
  </si>
  <si>
    <t>Ежемесячная оплата за рекламу (щиты, октябрь)</t>
  </si>
  <si>
    <t xml:space="preserve">01.10.2025г. </t>
  </si>
  <si>
    <t xml:space="preserve">02.10.2025г. </t>
  </si>
  <si>
    <t>ФК-0 (Чайхана Азия)</t>
  </si>
  <si>
    <t xml:space="preserve">03.10.2025г. </t>
  </si>
  <si>
    <t>Пав. 2-10-92 ("Одежда Premium")</t>
  </si>
  <si>
    <t>Оплата замены лицевой поверхности на панель-кронштейн</t>
  </si>
  <si>
    <t>ФК-19 (Ресторна "Чинар")</t>
  </si>
  <si>
    <t xml:space="preserve">06.10.2025г. </t>
  </si>
  <si>
    <t>АО КБ</t>
  </si>
  <si>
    <t>ЮНИСТРИМ</t>
  </si>
  <si>
    <t>ПАРК-003</t>
  </si>
  <si>
    <t xml:space="preserve">Приложение № 1 от 15.10.2025г. по 13.12.2025г. </t>
  </si>
  <si>
    <t>8-999-716-51-09 Глеб Витальевич Богданов</t>
  </si>
  <si>
    <t>ПР/У-008</t>
  </si>
  <si>
    <t>ПР/У-011</t>
  </si>
  <si>
    <t xml:space="preserve">Спецификация № 1 с 15.10.25г. по 13.12.25г. </t>
  </si>
  <si>
    <t>РД-022</t>
  </si>
  <si>
    <t xml:space="preserve">Спецификация № 2 с 15.10.25г. по 13.12.25г. </t>
  </si>
  <si>
    <t>2-1-032-34</t>
  </si>
  <si>
    <t>ФК-13 (Ресторна "Плов Центр")</t>
  </si>
  <si>
    <t>Изготовление и монтаж самоклеящейся пленки</t>
  </si>
  <si>
    <t>СКА-21</t>
  </si>
  <si>
    <t>Оплата перевеса вывески</t>
  </si>
  <si>
    <t xml:space="preserve">09.10.2025г.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</si>
</sst>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0_ ;[Red]\-#,##0.00\ 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theme="1"/>
      <name val="Calibri"/>
      <family val="2"/>
      <scheme val="minor"/>
    </font>
    <font>
      <sz val="16"/>
      <color rgb="FFFF0000"/>
      <name val="Times New Roman"/>
      <family val="1"/>
      <charset val="204"/>
    </font>
    <font>
      <sz val="16"/>
      <color theme="7" tint="-0.249977111117893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1"/>
      <charset val="204"/>
    </font>
  </fonts>
  <fills count="2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FE2F3"/>
      </patternFill>
    </fill>
    <fill>
      <patternFill patternType="solid">
        <fgColor theme="4" tint="0.39997558519241921"/>
        <bgColor rgb="FFCFE2F3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rgb="FFCFE2F3"/>
      </patternFill>
    </fill>
    <fill>
      <patternFill patternType="solid">
        <fgColor theme="9" tint="0.39997558519241921"/>
        <bgColor rgb="FFCFE2F3"/>
      </patternFill>
    </fill>
    <fill>
      <patternFill patternType="solid">
        <fgColor rgb="FFFFC000"/>
        <bgColor rgb="FFCFE2F3"/>
      </patternFill>
    </fill>
    <fill>
      <patternFill patternType="solid">
        <fgColor rgb="FFD2FAFE"/>
        <bgColor rgb="FFCFE2F3"/>
      </patternFill>
    </fill>
    <fill>
      <patternFill patternType="solid">
        <fgColor rgb="FFF3FDD3"/>
        <bgColor rgb="FFCFE2F3"/>
      </patternFill>
    </fill>
    <fill>
      <patternFill patternType="solid">
        <fgColor rgb="FFF3FDD3"/>
        <bgColor indexed="64"/>
      </patternFill>
    </fill>
    <fill>
      <patternFill patternType="solid">
        <fgColor rgb="FFF5FC9E"/>
        <bgColor indexed="64"/>
      </patternFill>
    </fill>
    <fill>
      <patternFill patternType="solid">
        <fgColor theme="8" tint="0.79998168889431442"/>
        <bgColor rgb="FFCFE2F3"/>
      </patternFill>
    </fill>
    <fill>
      <patternFill patternType="solid">
        <fgColor theme="7" tint="0.59999389629810485"/>
        <bgColor rgb="FFCFE2F3"/>
      </patternFill>
    </fill>
    <fill>
      <patternFill patternType="solid">
        <fgColor rgb="FFFBE68F"/>
        <bgColor rgb="FFCFE2F3"/>
      </patternFill>
    </fill>
    <fill>
      <patternFill patternType="solid">
        <fgColor rgb="FFFBE68F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6">
    <xf numFmtId="0" fontId="0" fillId="0" borderId="0" xfId="0"/>
    <xf numFmtId="0" fontId="2" fillId="11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44" fontId="6" fillId="7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5" fillId="10" borderId="1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15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 wrapText="1"/>
    </xf>
    <xf numFmtId="44" fontId="6" fillId="11" borderId="1" xfId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44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 wrapText="1"/>
    </xf>
    <xf numFmtId="44" fontId="6" fillId="11" borderId="2" xfId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11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26" borderId="1" xfId="0" applyFont="1" applyFill="1" applyBorder="1" applyAlignment="1">
      <alignment horizontal="center" vertical="center"/>
    </xf>
    <xf numFmtId="0" fontId="9" fillId="2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3" fillId="26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13" fillId="25" borderId="1" xfId="0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/>
    </xf>
    <xf numFmtId="164" fontId="8" fillId="22" borderId="1" xfId="1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9" fillId="9" borderId="1" xfId="0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/>
    </xf>
    <xf numFmtId="164" fontId="9" fillId="9" borderId="1" xfId="0" applyNumberFormat="1" applyFont="1" applyFill="1" applyBorder="1" applyAlignment="1">
      <alignment horizontal="center" vertical="center" wrapText="1"/>
    </xf>
    <xf numFmtId="44" fontId="5" fillId="10" borderId="3" xfId="1" applyFont="1" applyFill="1" applyBorder="1" applyAlignment="1">
      <alignment horizontal="center" vertical="center"/>
    </xf>
    <xf numFmtId="0" fontId="10" fillId="0" borderId="1" xfId="0" applyFont="1" applyBorder="1"/>
    <xf numFmtId="0" fontId="8" fillId="0" borderId="1" xfId="0" applyFont="1" applyBorder="1" applyAlignment="1">
      <alignment horizontal="right"/>
    </xf>
    <xf numFmtId="164" fontId="9" fillId="27" borderId="1" xfId="0" applyNumberFormat="1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/>
    </xf>
    <xf numFmtId="0" fontId="5" fillId="10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colors>
    <mruColors>
      <color rgb="FFFBE68F"/>
      <color rgb="FF2AD69D"/>
      <color rgb="FF99FF99"/>
      <color rgb="FFF3FDD3"/>
      <color rgb="FFF5FC9E"/>
      <color rgb="FFD2FA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8"/>
  <sheetViews>
    <sheetView zoomScale="55" zoomScaleNormal="55" workbookViewId="0">
      <pane xSplit="7" ySplit="1" topLeftCell="Z2" activePane="bottomRight" state="frozen"/>
      <selection activeCell="B1" sqref="B1"/>
      <selection pane="topRight" activeCell="H1" sqref="H1"/>
      <selection pane="bottomLeft" activeCell="B2" sqref="B2"/>
      <selection pane="bottomRight" activeCell="AF5" sqref="AF5"/>
    </sheetView>
  </sheetViews>
  <sheetFormatPr defaultRowHeight="15" x14ac:dyDescent="0.25"/>
  <cols>
    <col min="1" max="1" width="19.42578125" customWidth="1"/>
    <col min="2" max="2" width="38.85546875" customWidth="1"/>
    <col min="3" max="3" width="41.5703125" customWidth="1"/>
    <col min="4" max="4" width="23.42578125" customWidth="1"/>
    <col min="5" max="5" width="38.42578125" customWidth="1"/>
    <col min="6" max="6" width="30" customWidth="1"/>
    <col min="7" max="7" width="29" customWidth="1"/>
    <col min="8" max="8" width="27.42578125" customWidth="1"/>
    <col min="9" max="9" width="20.7109375" customWidth="1"/>
    <col min="10" max="10" width="130.5703125" customWidth="1"/>
    <col min="11" max="11" width="105.140625" customWidth="1"/>
    <col min="12" max="12" width="24" customWidth="1"/>
    <col min="13" max="13" width="30" customWidth="1"/>
    <col min="14" max="14" width="30.7109375" customWidth="1"/>
    <col min="15" max="15" width="27.140625" customWidth="1"/>
    <col min="16" max="16" width="28.7109375" customWidth="1"/>
    <col min="17" max="17" width="32.28515625" customWidth="1"/>
    <col min="18" max="18" width="28.85546875" customWidth="1"/>
    <col min="19" max="19" width="34.7109375" customWidth="1"/>
    <col min="20" max="20" width="24.42578125" customWidth="1"/>
    <col min="21" max="21" width="28.28515625" customWidth="1"/>
    <col min="22" max="22" width="24.140625" customWidth="1"/>
    <col min="23" max="26" width="25.140625" customWidth="1"/>
    <col min="27" max="27" width="26.42578125" customWidth="1"/>
    <col min="28" max="28" width="22.5703125" customWidth="1"/>
    <col min="29" max="31" width="27.28515625" customWidth="1"/>
    <col min="32" max="32" width="25.140625" customWidth="1"/>
    <col min="33" max="33" width="30.5703125" customWidth="1"/>
    <col min="34" max="34" width="29.7109375" customWidth="1"/>
    <col min="35" max="35" width="30.5703125" customWidth="1"/>
    <col min="36" max="36" width="49.5703125" customWidth="1"/>
    <col min="37" max="37" width="34.140625" customWidth="1"/>
    <col min="38" max="38" width="35.28515625" customWidth="1"/>
    <col min="39" max="39" width="24.5703125" customWidth="1"/>
    <col min="40" max="40" width="37.42578125" customWidth="1"/>
    <col min="41" max="43" width="28.140625" customWidth="1"/>
    <col min="44" max="44" width="28.42578125" customWidth="1"/>
    <col min="45" max="45" width="39.85546875" customWidth="1"/>
  </cols>
  <sheetData>
    <row r="1" spans="1:43" ht="83.25" customHeight="1" x14ac:dyDescent="0.25">
      <c r="A1" s="118" t="s">
        <v>14</v>
      </c>
      <c r="B1" s="118" t="s">
        <v>529</v>
      </c>
      <c r="C1" s="119" t="s">
        <v>491</v>
      </c>
      <c r="D1" s="120" t="s">
        <v>468</v>
      </c>
      <c r="E1" s="118" t="s">
        <v>12</v>
      </c>
      <c r="F1" s="119" t="s">
        <v>11</v>
      </c>
      <c r="G1" s="118" t="s">
        <v>10</v>
      </c>
      <c r="H1" s="118" t="s">
        <v>587</v>
      </c>
      <c r="I1" s="118" t="s">
        <v>588</v>
      </c>
      <c r="J1" s="99" t="s">
        <v>9</v>
      </c>
      <c r="K1" s="121" t="s">
        <v>13</v>
      </c>
      <c r="L1" s="94" t="s">
        <v>453</v>
      </c>
      <c r="M1" s="94" t="s">
        <v>454</v>
      </c>
      <c r="N1" s="95" t="s">
        <v>458</v>
      </c>
      <c r="O1" s="95" t="s">
        <v>459</v>
      </c>
      <c r="P1" s="96" t="s">
        <v>460</v>
      </c>
      <c r="Q1" s="96" t="s">
        <v>461</v>
      </c>
      <c r="R1" s="97" t="s">
        <v>462</v>
      </c>
      <c r="S1" s="97" t="s">
        <v>463</v>
      </c>
      <c r="T1" s="98" t="s">
        <v>464</v>
      </c>
      <c r="U1" s="98" t="s">
        <v>465</v>
      </c>
      <c r="V1" s="101" t="s">
        <v>478</v>
      </c>
      <c r="W1" s="101" t="s">
        <v>479</v>
      </c>
      <c r="X1" s="101" t="s">
        <v>747</v>
      </c>
      <c r="Y1" s="101" t="s">
        <v>748</v>
      </c>
      <c r="Z1" s="101" t="s">
        <v>837</v>
      </c>
      <c r="AA1" s="101" t="s">
        <v>838</v>
      </c>
      <c r="AB1" s="96" t="s">
        <v>965</v>
      </c>
      <c r="AC1" s="96" t="s">
        <v>966</v>
      </c>
      <c r="AD1" s="96" t="s">
        <v>1077</v>
      </c>
      <c r="AE1" s="96" t="s">
        <v>1078</v>
      </c>
      <c r="AF1" s="102" t="s">
        <v>480</v>
      </c>
      <c r="AG1" s="103" t="s">
        <v>481</v>
      </c>
      <c r="AH1" s="103" t="s">
        <v>581</v>
      </c>
      <c r="AI1" s="94" t="s">
        <v>561</v>
      </c>
      <c r="AJ1" s="94" t="s">
        <v>562</v>
      </c>
      <c r="AK1" s="95" t="s">
        <v>582</v>
      </c>
      <c r="AL1" s="96" t="s">
        <v>583</v>
      </c>
      <c r="AM1" s="97" t="s">
        <v>584</v>
      </c>
      <c r="AN1" s="98" t="s">
        <v>585</v>
      </c>
      <c r="AO1" s="101" t="s">
        <v>586</v>
      </c>
      <c r="AP1" s="101" t="s">
        <v>767</v>
      </c>
      <c r="AQ1" s="101" t="s">
        <v>963</v>
      </c>
    </row>
    <row r="2" spans="1:43" ht="40.5" x14ac:dyDescent="0.25">
      <c r="A2" s="113" t="s">
        <v>5</v>
      </c>
      <c r="B2" s="113" t="s">
        <v>473</v>
      </c>
      <c r="C2" s="114" t="s">
        <v>476</v>
      </c>
      <c r="D2" s="107" t="s">
        <v>471</v>
      </c>
      <c r="E2" s="109" t="s">
        <v>456</v>
      </c>
      <c r="F2" s="129" t="s">
        <v>16</v>
      </c>
      <c r="G2" s="111" t="s">
        <v>17</v>
      </c>
      <c r="H2" s="131">
        <v>45470</v>
      </c>
      <c r="I2" s="131">
        <v>45474</v>
      </c>
      <c r="J2" s="104" t="s">
        <v>938</v>
      </c>
      <c r="K2" s="116" t="s">
        <v>536</v>
      </c>
      <c r="L2" s="100">
        <v>70000</v>
      </c>
      <c r="M2" s="100" t="s">
        <v>455</v>
      </c>
      <c r="N2" s="100">
        <v>70000</v>
      </c>
      <c r="O2" s="100" t="s">
        <v>455</v>
      </c>
      <c r="P2" s="100">
        <v>70000</v>
      </c>
      <c r="Q2" s="100" t="s">
        <v>455</v>
      </c>
      <c r="R2" s="100">
        <v>70000</v>
      </c>
      <c r="S2" s="100" t="s">
        <v>455</v>
      </c>
      <c r="T2" s="100">
        <v>70000</v>
      </c>
      <c r="U2" s="100" t="s">
        <v>455</v>
      </c>
      <c r="V2" s="100">
        <v>70000</v>
      </c>
      <c r="W2" s="100" t="s">
        <v>455</v>
      </c>
      <c r="X2" s="100">
        <v>70000</v>
      </c>
      <c r="Y2" s="100" t="s">
        <v>455</v>
      </c>
      <c r="Z2" s="100">
        <v>0</v>
      </c>
      <c r="AA2" s="100" t="s">
        <v>466</v>
      </c>
      <c r="AB2" s="100">
        <v>0</v>
      </c>
      <c r="AC2" s="100" t="s">
        <v>466</v>
      </c>
      <c r="AD2" s="100">
        <v>0</v>
      </c>
      <c r="AE2" s="100" t="s">
        <v>466</v>
      </c>
      <c r="AF2" s="100">
        <v>0</v>
      </c>
      <c r="AG2" s="100">
        <f t="shared" ref="AG2:AG57" si="0">SUMIF(L2:AA2,"&lt;0")</f>
        <v>0</v>
      </c>
      <c r="AH2" s="141">
        <f t="shared" ref="AH2:AH25" si="1">SUM(AI2:AQ2)</f>
        <v>560000</v>
      </c>
      <c r="AI2" s="100">
        <v>70000</v>
      </c>
      <c r="AJ2" s="100">
        <v>70000</v>
      </c>
      <c r="AK2" s="100">
        <v>70000</v>
      </c>
      <c r="AL2" s="100">
        <v>70000</v>
      </c>
      <c r="AM2" s="100">
        <v>70000</v>
      </c>
      <c r="AN2" s="100">
        <v>210000</v>
      </c>
      <c r="AO2" s="100">
        <v>0</v>
      </c>
      <c r="AP2" s="100"/>
      <c r="AQ2" s="100"/>
    </row>
    <row r="3" spans="1:43" ht="21" x14ac:dyDescent="0.25">
      <c r="A3" s="113" t="s">
        <v>5</v>
      </c>
      <c r="B3" s="113" t="s">
        <v>473</v>
      </c>
      <c r="C3" s="114" t="s">
        <v>476</v>
      </c>
      <c r="D3" s="107" t="s">
        <v>471</v>
      </c>
      <c r="E3" s="109" t="s">
        <v>456</v>
      </c>
      <c r="F3" s="129" t="s">
        <v>16</v>
      </c>
      <c r="G3" s="111" t="s">
        <v>17</v>
      </c>
      <c r="H3" s="131">
        <v>45470</v>
      </c>
      <c r="I3" s="131">
        <v>45870</v>
      </c>
      <c r="J3" s="104" t="s">
        <v>939</v>
      </c>
      <c r="K3" s="116" t="s">
        <v>536</v>
      </c>
      <c r="L3" s="100">
        <v>0</v>
      </c>
      <c r="M3" s="100" t="s">
        <v>466</v>
      </c>
      <c r="N3" s="100">
        <v>0</v>
      </c>
      <c r="O3" s="100" t="s">
        <v>466</v>
      </c>
      <c r="P3" s="100">
        <v>0</v>
      </c>
      <c r="Q3" s="100" t="s">
        <v>466</v>
      </c>
      <c r="R3" s="100">
        <v>0</v>
      </c>
      <c r="S3" s="100" t="s">
        <v>466</v>
      </c>
      <c r="T3" s="100">
        <v>0</v>
      </c>
      <c r="U3" s="100" t="s">
        <v>466</v>
      </c>
      <c r="V3" s="100">
        <v>0</v>
      </c>
      <c r="W3" s="100" t="s">
        <v>466</v>
      </c>
      <c r="X3" s="100">
        <v>0</v>
      </c>
      <c r="Y3" s="100" t="s">
        <v>466</v>
      </c>
      <c r="Z3" s="100">
        <v>285050</v>
      </c>
      <c r="AA3" s="100" t="s">
        <v>455</v>
      </c>
      <c r="AB3" s="100">
        <v>70000</v>
      </c>
      <c r="AC3" s="100" t="s">
        <v>455</v>
      </c>
      <c r="AD3" s="100">
        <v>70000</v>
      </c>
      <c r="AE3" s="100" t="s">
        <v>455</v>
      </c>
      <c r="AF3" s="100">
        <v>0</v>
      </c>
      <c r="AG3" s="100">
        <f t="shared" si="0"/>
        <v>0</v>
      </c>
      <c r="AH3" s="141">
        <f t="shared" si="1"/>
        <v>70000</v>
      </c>
      <c r="AI3" s="100">
        <v>0</v>
      </c>
      <c r="AJ3" s="100">
        <v>0</v>
      </c>
      <c r="AK3" s="100">
        <v>0</v>
      </c>
      <c r="AL3" s="100">
        <v>0</v>
      </c>
      <c r="AM3" s="100">
        <v>0</v>
      </c>
      <c r="AN3" s="100">
        <v>0</v>
      </c>
      <c r="AO3" s="100">
        <v>0</v>
      </c>
      <c r="AP3" s="100">
        <v>70000</v>
      </c>
      <c r="AQ3" s="100"/>
    </row>
    <row r="4" spans="1:43" ht="46.5" customHeight="1" x14ac:dyDescent="0.25">
      <c r="A4" s="113" t="s">
        <v>5</v>
      </c>
      <c r="B4" s="113" t="s">
        <v>473</v>
      </c>
      <c r="C4" s="114" t="s">
        <v>475</v>
      </c>
      <c r="D4" s="107" t="s">
        <v>471</v>
      </c>
      <c r="E4" s="109" t="s">
        <v>456</v>
      </c>
      <c r="F4" s="129" t="s">
        <v>16</v>
      </c>
      <c r="G4" s="111" t="s">
        <v>18</v>
      </c>
      <c r="H4" s="131">
        <v>45471</v>
      </c>
      <c r="I4" s="131">
        <v>45474</v>
      </c>
      <c r="J4" s="104" t="s">
        <v>839</v>
      </c>
      <c r="K4" s="116" t="s">
        <v>536</v>
      </c>
      <c r="L4" s="100">
        <v>70000</v>
      </c>
      <c r="M4" s="100" t="s">
        <v>455</v>
      </c>
      <c r="N4" s="100">
        <v>70000</v>
      </c>
      <c r="O4" s="100" t="s">
        <v>455</v>
      </c>
      <c r="P4" s="100">
        <v>70000</v>
      </c>
      <c r="Q4" s="100" t="s">
        <v>455</v>
      </c>
      <c r="R4" s="100">
        <v>70000</v>
      </c>
      <c r="S4" s="100" t="s">
        <v>455</v>
      </c>
      <c r="T4" s="100">
        <v>70000</v>
      </c>
      <c r="U4" s="100" t="s">
        <v>455</v>
      </c>
      <c r="V4" s="100">
        <v>70000</v>
      </c>
      <c r="W4" s="100" t="s">
        <v>455</v>
      </c>
      <c r="X4" s="100">
        <v>70000</v>
      </c>
      <c r="Y4" s="100" t="s">
        <v>455</v>
      </c>
      <c r="Z4" s="100">
        <v>70000</v>
      </c>
      <c r="AA4" s="100" t="s">
        <v>455</v>
      </c>
      <c r="AB4" s="100">
        <v>70000</v>
      </c>
      <c r="AC4" s="100" t="s">
        <v>455</v>
      </c>
      <c r="AD4" s="100">
        <v>70000</v>
      </c>
      <c r="AE4" s="100" t="s">
        <v>455</v>
      </c>
      <c r="AF4" s="100">
        <v>62000</v>
      </c>
      <c r="AG4" s="100">
        <f t="shared" si="0"/>
        <v>0</v>
      </c>
      <c r="AH4" s="141">
        <f t="shared" si="1"/>
        <v>350000</v>
      </c>
      <c r="AI4" s="100">
        <v>70000</v>
      </c>
      <c r="AJ4" s="100">
        <v>70000</v>
      </c>
      <c r="AK4" s="100">
        <v>70000</v>
      </c>
      <c r="AL4" s="100">
        <v>0</v>
      </c>
      <c r="AM4" s="100">
        <v>70000</v>
      </c>
      <c r="AN4" s="100">
        <v>70000</v>
      </c>
      <c r="AO4" s="100">
        <v>0</v>
      </c>
      <c r="AP4" s="100"/>
      <c r="AQ4" s="100"/>
    </row>
    <row r="5" spans="1:43" ht="40.5" x14ac:dyDescent="0.25">
      <c r="A5" s="113" t="s">
        <v>5</v>
      </c>
      <c r="B5" s="113" t="s">
        <v>473</v>
      </c>
      <c r="C5" s="114" t="s">
        <v>475</v>
      </c>
      <c r="D5" s="107" t="s">
        <v>471</v>
      </c>
      <c r="E5" s="109" t="s">
        <v>456</v>
      </c>
      <c r="F5" s="129" t="s">
        <v>16</v>
      </c>
      <c r="G5" s="111" t="s">
        <v>18</v>
      </c>
      <c r="H5" s="131">
        <v>45471</v>
      </c>
      <c r="I5" s="131">
        <v>45474</v>
      </c>
      <c r="J5" s="104" t="s">
        <v>840</v>
      </c>
      <c r="K5" s="116" t="s">
        <v>536</v>
      </c>
      <c r="L5" s="100">
        <v>70000</v>
      </c>
      <c r="M5" s="100" t="s">
        <v>455</v>
      </c>
      <c r="N5" s="100">
        <v>70000</v>
      </c>
      <c r="O5" s="100" t="s">
        <v>455</v>
      </c>
      <c r="P5" s="100">
        <v>70000</v>
      </c>
      <c r="Q5" s="100" t="s">
        <v>455</v>
      </c>
      <c r="R5" s="100">
        <v>70000</v>
      </c>
      <c r="S5" s="100" t="s">
        <v>455</v>
      </c>
      <c r="T5" s="100">
        <v>70000</v>
      </c>
      <c r="U5" s="100" t="s">
        <v>455</v>
      </c>
      <c r="V5" s="100">
        <v>70000</v>
      </c>
      <c r="W5" s="100" t="s">
        <v>455</v>
      </c>
      <c r="X5" s="100">
        <v>70000</v>
      </c>
      <c r="Y5" s="100" t="s">
        <v>455</v>
      </c>
      <c r="Z5" s="100">
        <v>70000</v>
      </c>
      <c r="AA5" s="100" t="s">
        <v>455</v>
      </c>
      <c r="AB5" s="100">
        <v>70000</v>
      </c>
      <c r="AC5" s="100" t="s">
        <v>455</v>
      </c>
      <c r="AD5" s="100">
        <v>70000</v>
      </c>
      <c r="AE5" s="100" t="s">
        <v>455</v>
      </c>
      <c r="AF5" s="100">
        <v>0</v>
      </c>
      <c r="AG5" s="100">
        <f t="shared" si="0"/>
        <v>0</v>
      </c>
      <c r="AH5" s="141">
        <f t="shared" si="1"/>
        <v>350000</v>
      </c>
      <c r="AI5" s="100">
        <v>70000</v>
      </c>
      <c r="AJ5" s="100">
        <v>70000</v>
      </c>
      <c r="AK5" s="100">
        <v>70000</v>
      </c>
      <c r="AL5" s="100">
        <v>0</v>
      </c>
      <c r="AM5" s="100">
        <v>70000</v>
      </c>
      <c r="AN5" s="100">
        <v>70000</v>
      </c>
      <c r="AO5" s="100">
        <v>0</v>
      </c>
      <c r="AP5" s="100"/>
      <c r="AQ5" s="100"/>
    </row>
    <row r="6" spans="1:43" ht="36" customHeight="1" x14ac:dyDescent="0.25">
      <c r="A6" s="113" t="s">
        <v>5</v>
      </c>
      <c r="B6" s="113" t="s">
        <v>473</v>
      </c>
      <c r="C6" s="114" t="s">
        <v>494</v>
      </c>
      <c r="D6" s="107" t="s">
        <v>507</v>
      </c>
      <c r="E6" s="109" t="s">
        <v>456</v>
      </c>
      <c r="F6" s="129" t="s">
        <v>539</v>
      </c>
      <c r="G6" s="111" t="s">
        <v>26</v>
      </c>
      <c r="H6" s="131">
        <v>45558</v>
      </c>
      <c r="I6" s="131">
        <v>45566</v>
      </c>
      <c r="J6" s="104" t="s">
        <v>484</v>
      </c>
      <c r="K6" s="116" t="s">
        <v>540</v>
      </c>
      <c r="L6" s="100">
        <v>18000</v>
      </c>
      <c r="M6" s="100" t="s">
        <v>455</v>
      </c>
      <c r="N6" s="100">
        <v>18000</v>
      </c>
      <c r="O6" s="100" t="s">
        <v>455</v>
      </c>
      <c r="P6" s="100">
        <v>18000</v>
      </c>
      <c r="Q6" s="100" t="s">
        <v>455</v>
      </c>
      <c r="R6" s="100">
        <v>18000</v>
      </c>
      <c r="S6" s="100" t="s">
        <v>455</v>
      </c>
      <c r="T6" s="100">
        <v>18000</v>
      </c>
      <c r="U6" s="100" t="s">
        <v>455</v>
      </c>
      <c r="V6" s="100">
        <v>18000</v>
      </c>
      <c r="W6" s="100" t="s">
        <v>455</v>
      </c>
      <c r="X6" s="100">
        <v>18000</v>
      </c>
      <c r="Y6" s="100" t="s">
        <v>455</v>
      </c>
      <c r="Z6" s="100">
        <v>18000</v>
      </c>
      <c r="AA6" s="100" t="s">
        <v>455</v>
      </c>
      <c r="AB6" s="100">
        <v>18000</v>
      </c>
      <c r="AC6" s="100" t="s">
        <v>455</v>
      </c>
      <c r="AD6" s="100">
        <v>18000</v>
      </c>
      <c r="AE6" s="100" t="s">
        <v>455</v>
      </c>
      <c r="AF6" s="100">
        <f t="shared" ref="AF6:AF11" si="2">SUMIF(K6:V6,"&lt;0")</f>
        <v>0</v>
      </c>
      <c r="AG6" s="100">
        <f t="shared" si="0"/>
        <v>0</v>
      </c>
      <c r="AH6" s="141">
        <f t="shared" si="1"/>
        <v>243750</v>
      </c>
      <c r="AI6" s="100">
        <v>18000</v>
      </c>
      <c r="AJ6" s="100">
        <v>0</v>
      </c>
      <c r="AK6" s="100">
        <v>18000</v>
      </c>
      <c r="AL6" s="100">
        <v>18000</v>
      </c>
      <c r="AM6" s="100">
        <v>36000</v>
      </c>
      <c r="AN6" s="100">
        <v>135750</v>
      </c>
      <c r="AO6" s="100">
        <v>18000</v>
      </c>
      <c r="AP6" s="100"/>
      <c r="AQ6" s="100"/>
    </row>
    <row r="7" spans="1:43" ht="36" customHeight="1" x14ac:dyDescent="0.25">
      <c r="A7" s="113" t="s">
        <v>5</v>
      </c>
      <c r="B7" s="113" t="s">
        <v>473</v>
      </c>
      <c r="C7" s="114" t="s">
        <v>494</v>
      </c>
      <c r="D7" s="107" t="s">
        <v>507</v>
      </c>
      <c r="E7" s="109" t="s">
        <v>456</v>
      </c>
      <c r="F7" s="129" t="s">
        <v>539</v>
      </c>
      <c r="G7" s="111" t="s">
        <v>26</v>
      </c>
      <c r="H7" s="131">
        <v>45558</v>
      </c>
      <c r="I7" s="131">
        <v>45870</v>
      </c>
      <c r="J7" s="104" t="s">
        <v>940</v>
      </c>
      <c r="K7" s="116" t="s">
        <v>540</v>
      </c>
      <c r="L7" s="100">
        <v>0</v>
      </c>
      <c r="M7" s="100" t="s">
        <v>466</v>
      </c>
      <c r="N7" s="100">
        <v>0</v>
      </c>
      <c r="O7" s="100" t="s">
        <v>466</v>
      </c>
      <c r="P7" s="100">
        <v>0</v>
      </c>
      <c r="Q7" s="100" t="s">
        <v>466</v>
      </c>
      <c r="R7" s="100">
        <v>0</v>
      </c>
      <c r="S7" s="100" t="s">
        <v>466</v>
      </c>
      <c r="T7" s="100">
        <v>0</v>
      </c>
      <c r="U7" s="100" t="s">
        <v>466</v>
      </c>
      <c r="V7" s="100">
        <v>0</v>
      </c>
      <c r="W7" s="100" t="s">
        <v>466</v>
      </c>
      <c r="X7" s="100">
        <v>0</v>
      </c>
      <c r="Y7" s="100" t="s">
        <v>466</v>
      </c>
      <c r="Z7" s="100">
        <v>25000</v>
      </c>
      <c r="AA7" s="100" t="s">
        <v>455</v>
      </c>
      <c r="AB7" s="100">
        <v>10000</v>
      </c>
      <c r="AC7" s="100" t="s">
        <v>455</v>
      </c>
      <c r="AD7" s="100">
        <v>10000</v>
      </c>
      <c r="AE7" s="100" t="s">
        <v>455</v>
      </c>
      <c r="AF7" s="100">
        <f t="shared" si="2"/>
        <v>0</v>
      </c>
      <c r="AG7" s="100">
        <f t="shared" si="0"/>
        <v>0</v>
      </c>
      <c r="AH7" s="141">
        <f t="shared" si="1"/>
        <v>25000</v>
      </c>
      <c r="AI7" s="100">
        <v>0</v>
      </c>
      <c r="AJ7" s="100">
        <v>0</v>
      </c>
      <c r="AK7" s="100">
        <v>0</v>
      </c>
      <c r="AL7" s="100">
        <v>0</v>
      </c>
      <c r="AM7" s="100">
        <v>0</v>
      </c>
      <c r="AN7" s="100">
        <v>0</v>
      </c>
      <c r="AO7" s="100">
        <v>0</v>
      </c>
      <c r="AP7" s="100">
        <v>0</v>
      </c>
      <c r="AQ7" s="100">
        <v>25000</v>
      </c>
    </row>
    <row r="8" spans="1:43" ht="40.5" x14ac:dyDescent="0.25">
      <c r="A8" s="115" t="s">
        <v>19</v>
      </c>
      <c r="B8" s="113" t="s">
        <v>473</v>
      </c>
      <c r="C8" s="114" t="s">
        <v>496</v>
      </c>
      <c r="D8" s="107" t="s">
        <v>495</v>
      </c>
      <c r="E8" s="109" t="s">
        <v>456</v>
      </c>
      <c r="F8" s="129" t="s">
        <v>27</v>
      </c>
      <c r="G8" s="111" t="s">
        <v>28</v>
      </c>
      <c r="H8" s="131">
        <v>45474</v>
      </c>
      <c r="I8" s="131">
        <v>45474</v>
      </c>
      <c r="J8" s="104" t="s">
        <v>967</v>
      </c>
      <c r="K8" s="116" t="s">
        <v>541</v>
      </c>
      <c r="L8" s="100">
        <v>18000</v>
      </c>
      <c r="M8" s="100" t="s">
        <v>455</v>
      </c>
      <c r="N8" s="100">
        <v>18000</v>
      </c>
      <c r="O8" s="100" t="s">
        <v>455</v>
      </c>
      <c r="P8" s="100">
        <v>18000</v>
      </c>
      <c r="Q8" s="100" t="s">
        <v>455</v>
      </c>
      <c r="R8" s="100">
        <v>18000</v>
      </c>
      <c r="S8" s="100" t="s">
        <v>455</v>
      </c>
      <c r="T8" s="100">
        <v>18000</v>
      </c>
      <c r="U8" s="100" t="s">
        <v>455</v>
      </c>
      <c r="V8" s="100">
        <v>18000</v>
      </c>
      <c r="W8" s="100" t="s">
        <v>455</v>
      </c>
      <c r="X8" s="100">
        <v>18000</v>
      </c>
      <c r="Y8" s="100" t="s">
        <v>455</v>
      </c>
      <c r="Z8" s="100">
        <v>18000</v>
      </c>
      <c r="AA8" s="100" t="s">
        <v>455</v>
      </c>
      <c r="AB8" s="100">
        <v>18000</v>
      </c>
      <c r="AC8" s="100" t="s">
        <v>455</v>
      </c>
      <c r="AD8" s="100">
        <v>18000</v>
      </c>
      <c r="AE8" s="100" t="s">
        <v>455</v>
      </c>
      <c r="AF8" s="100">
        <f t="shared" si="2"/>
        <v>0</v>
      </c>
      <c r="AG8" s="100">
        <f t="shared" si="0"/>
        <v>0</v>
      </c>
      <c r="AH8" s="141">
        <f t="shared" si="1"/>
        <v>180000</v>
      </c>
      <c r="AI8" s="100">
        <v>0</v>
      </c>
      <c r="AJ8" s="100">
        <v>0</v>
      </c>
      <c r="AK8" s="100">
        <v>0</v>
      </c>
      <c r="AL8" s="100">
        <v>0</v>
      </c>
      <c r="AM8" s="100">
        <v>162000</v>
      </c>
      <c r="AN8" s="100">
        <v>18000</v>
      </c>
      <c r="AO8" s="100">
        <v>0</v>
      </c>
      <c r="AP8" s="100"/>
      <c r="AQ8" s="100"/>
    </row>
    <row r="9" spans="1:43" ht="40.5" x14ac:dyDescent="0.25">
      <c r="A9" s="115" t="s">
        <v>19</v>
      </c>
      <c r="B9" s="113" t="s">
        <v>473</v>
      </c>
      <c r="C9" s="114" t="s">
        <v>496</v>
      </c>
      <c r="D9" s="107" t="s">
        <v>495</v>
      </c>
      <c r="E9" s="109" t="s">
        <v>456</v>
      </c>
      <c r="F9" s="129" t="s">
        <v>27</v>
      </c>
      <c r="G9" s="111" t="s">
        <v>28</v>
      </c>
      <c r="H9" s="131">
        <v>45474</v>
      </c>
      <c r="I9" s="131">
        <v>45474</v>
      </c>
      <c r="J9" s="104" t="s">
        <v>968</v>
      </c>
      <c r="K9" s="116" t="s">
        <v>541</v>
      </c>
      <c r="L9" s="100">
        <v>5000</v>
      </c>
      <c r="M9" s="100" t="s">
        <v>455</v>
      </c>
      <c r="N9" s="100">
        <v>5000</v>
      </c>
      <c r="O9" s="100" t="s">
        <v>455</v>
      </c>
      <c r="P9" s="100">
        <v>5000</v>
      </c>
      <c r="Q9" s="100" t="s">
        <v>455</v>
      </c>
      <c r="R9" s="100">
        <v>5000</v>
      </c>
      <c r="S9" s="100" t="s">
        <v>455</v>
      </c>
      <c r="T9" s="100">
        <v>5000</v>
      </c>
      <c r="U9" s="100" t="s">
        <v>455</v>
      </c>
      <c r="V9" s="100">
        <v>5000</v>
      </c>
      <c r="W9" s="100" t="s">
        <v>455</v>
      </c>
      <c r="X9" s="100">
        <v>5000</v>
      </c>
      <c r="Y9" s="100" t="s">
        <v>455</v>
      </c>
      <c r="Z9" s="100">
        <v>5000</v>
      </c>
      <c r="AA9" s="100" t="s">
        <v>455</v>
      </c>
      <c r="AB9" s="100">
        <v>5000</v>
      </c>
      <c r="AC9" s="100" t="s">
        <v>455</v>
      </c>
      <c r="AD9" s="100">
        <v>5000</v>
      </c>
      <c r="AE9" s="100" t="s">
        <v>455</v>
      </c>
      <c r="AF9" s="100">
        <f t="shared" si="2"/>
        <v>0</v>
      </c>
      <c r="AG9" s="100">
        <f t="shared" si="0"/>
        <v>0</v>
      </c>
      <c r="AH9" s="141">
        <f t="shared" si="1"/>
        <v>50000</v>
      </c>
      <c r="AI9" s="100">
        <v>0</v>
      </c>
      <c r="AJ9" s="100">
        <v>0</v>
      </c>
      <c r="AK9" s="100">
        <v>0</v>
      </c>
      <c r="AL9" s="100">
        <v>0</v>
      </c>
      <c r="AM9" s="100">
        <v>45000</v>
      </c>
      <c r="AN9" s="100">
        <v>5000</v>
      </c>
      <c r="AO9" s="100">
        <v>0</v>
      </c>
      <c r="AP9" s="100"/>
      <c r="AQ9" s="100"/>
    </row>
    <row r="10" spans="1:43" ht="20.25" x14ac:dyDescent="0.25">
      <c r="A10" s="113" t="s">
        <v>19</v>
      </c>
      <c r="B10" s="113" t="s">
        <v>473</v>
      </c>
      <c r="C10" s="114" t="s">
        <v>350</v>
      </c>
      <c r="D10" s="107" t="s">
        <v>499</v>
      </c>
      <c r="E10" s="115" t="s">
        <v>25</v>
      </c>
      <c r="F10" s="129" t="s">
        <v>16</v>
      </c>
      <c r="G10" s="108" t="s">
        <v>30</v>
      </c>
      <c r="H10" s="134">
        <v>45040</v>
      </c>
      <c r="I10" s="134">
        <v>45383</v>
      </c>
      <c r="J10" s="106" t="s">
        <v>718</v>
      </c>
      <c r="K10" s="116" t="s">
        <v>544</v>
      </c>
      <c r="L10" s="100">
        <v>52500</v>
      </c>
      <c r="M10" s="100" t="s">
        <v>455</v>
      </c>
      <c r="N10" s="100">
        <v>52500</v>
      </c>
      <c r="O10" s="100" t="s">
        <v>455</v>
      </c>
      <c r="P10" s="100" t="s">
        <v>559</v>
      </c>
      <c r="Q10" s="100" t="s">
        <v>455</v>
      </c>
      <c r="R10" s="100" t="s">
        <v>559</v>
      </c>
      <c r="S10" s="100" t="s">
        <v>455</v>
      </c>
      <c r="T10" s="100" t="s">
        <v>559</v>
      </c>
      <c r="U10" s="100" t="s">
        <v>455</v>
      </c>
      <c r="V10" s="100" t="s">
        <v>559</v>
      </c>
      <c r="W10" s="100" t="s">
        <v>455</v>
      </c>
      <c r="X10" s="100" t="s">
        <v>559</v>
      </c>
      <c r="Y10" s="100" t="s">
        <v>455</v>
      </c>
      <c r="Z10" s="100" t="s">
        <v>559</v>
      </c>
      <c r="AA10" s="100" t="s">
        <v>455</v>
      </c>
      <c r="AB10" s="100" t="s">
        <v>559</v>
      </c>
      <c r="AC10" s="100" t="s">
        <v>455</v>
      </c>
      <c r="AD10" s="100" t="s">
        <v>559</v>
      </c>
      <c r="AE10" s="100" t="s">
        <v>455</v>
      </c>
      <c r="AF10" s="100">
        <f t="shared" si="2"/>
        <v>0</v>
      </c>
      <c r="AG10" s="100">
        <f t="shared" si="0"/>
        <v>0</v>
      </c>
      <c r="AH10" s="141">
        <f t="shared" si="1"/>
        <v>367500</v>
      </c>
      <c r="AI10" s="100">
        <v>52500</v>
      </c>
      <c r="AJ10" s="100">
        <v>0</v>
      </c>
      <c r="AK10" s="100">
        <v>105000</v>
      </c>
      <c r="AL10" s="100">
        <v>52500</v>
      </c>
      <c r="AM10" s="100">
        <v>105000</v>
      </c>
      <c r="AN10" s="100">
        <v>52500</v>
      </c>
      <c r="AO10" s="100">
        <v>0</v>
      </c>
      <c r="AP10" s="100"/>
      <c r="AQ10" s="100"/>
    </row>
    <row r="11" spans="1:43" ht="20.25" x14ac:dyDescent="0.25">
      <c r="A11" s="113" t="s">
        <v>19</v>
      </c>
      <c r="B11" s="113" t="s">
        <v>473</v>
      </c>
      <c r="C11" s="114" t="s">
        <v>350</v>
      </c>
      <c r="D11" s="107" t="s">
        <v>499</v>
      </c>
      <c r="E11" s="115" t="s">
        <v>25</v>
      </c>
      <c r="F11" s="129" t="s">
        <v>16</v>
      </c>
      <c r="G11" s="108" t="s">
        <v>30</v>
      </c>
      <c r="H11" s="134">
        <v>45040</v>
      </c>
      <c r="I11" s="134">
        <v>45383</v>
      </c>
      <c r="J11" s="106" t="s">
        <v>719</v>
      </c>
      <c r="K11" s="116" t="s">
        <v>544</v>
      </c>
      <c r="L11" s="100">
        <v>8000</v>
      </c>
      <c r="M11" s="100" t="s">
        <v>455</v>
      </c>
      <c r="N11" s="100">
        <v>8000</v>
      </c>
      <c r="O11" s="100" t="s">
        <v>455</v>
      </c>
      <c r="P11" s="100">
        <v>8000</v>
      </c>
      <c r="Q11" s="100" t="s">
        <v>455</v>
      </c>
      <c r="R11" s="100">
        <v>8000</v>
      </c>
      <c r="S11" s="100" t="s">
        <v>455</v>
      </c>
      <c r="T11" s="100">
        <v>8000</v>
      </c>
      <c r="U11" s="100" t="s">
        <v>455</v>
      </c>
      <c r="V11" s="100">
        <v>8000</v>
      </c>
      <c r="W11" s="100" t="s">
        <v>455</v>
      </c>
      <c r="X11" s="100">
        <v>8000</v>
      </c>
      <c r="Y11" s="100" t="s">
        <v>455</v>
      </c>
      <c r="Z11" s="100">
        <v>8000</v>
      </c>
      <c r="AA11" s="100" t="s">
        <v>455</v>
      </c>
      <c r="AB11" s="100">
        <v>8000</v>
      </c>
      <c r="AC11" s="100" t="s">
        <v>455</v>
      </c>
      <c r="AD11" s="100">
        <v>8000</v>
      </c>
      <c r="AE11" s="100" t="s">
        <v>455</v>
      </c>
      <c r="AF11" s="100">
        <f t="shared" si="2"/>
        <v>0</v>
      </c>
      <c r="AG11" s="100">
        <f t="shared" si="0"/>
        <v>0</v>
      </c>
      <c r="AH11" s="141">
        <f t="shared" si="1"/>
        <v>100500</v>
      </c>
      <c r="AI11" s="100">
        <v>52500</v>
      </c>
      <c r="AJ11" s="100">
        <v>0</v>
      </c>
      <c r="AK11" s="100">
        <v>16000</v>
      </c>
      <c r="AL11" s="100">
        <v>8000</v>
      </c>
      <c r="AM11" s="100">
        <v>16000</v>
      </c>
      <c r="AN11" s="100">
        <v>8000</v>
      </c>
      <c r="AO11" s="100">
        <v>0</v>
      </c>
      <c r="AP11" s="100"/>
      <c r="AQ11" s="100"/>
    </row>
    <row r="12" spans="1:43" ht="20.25" x14ac:dyDescent="0.25">
      <c r="A12" s="113" t="s">
        <v>32</v>
      </c>
      <c r="B12" s="113" t="s">
        <v>473</v>
      </c>
      <c r="C12" s="114" t="s">
        <v>503</v>
      </c>
      <c r="D12" s="107" t="s">
        <v>504</v>
      </c>
      <c r="E12" s="113" t="s">
        <v>545</v>
      </c>
      <c r="F12" s="129" t="s">
        <v>35</v>
      </c>
      <c r="G12" s="115" t="s">
        <v>295</v>
      </c>
      <c r="H12" s="130">
        <v>45688</v>
      </c>
      <c r="I12" s="111" t="s">
        <v>592</v>
      </c>
      <c r="J12" s="106" t="s">
        <v>296</v>
      </c>
      <c r="K12" s="126" t="s">
        <v>505</v>
      </c>
      <c r="L12" s="100">
        <v>0</v>
      </c>
      <c r="M12" s="100" t="s">
        <v>466</v>
      </c>
      <c r="N12" s="100">
        <v>101250</v>
      </c>
      <c r="O12" s="100" t="s">
        <v>455</v>
      </c>
      <c r="P12" s="100">
        <v>101250</v>
      </c>
      <c r="Q12" s="100" t="s">
        <v>455</v>
      </c>
      <c r="R12" s="100">
        <v>101250</v>
      </c>
      <c r="S12" s="100" t="s">
        <v>455</v>
      </c>
      <c r="T12" s="100">
        <v>101250</v>
      </c>
      <c r="U12" s="100" t="s">
        <v>455</v>
      </c>
      <c r="V12" s="100">
        <v>101250</v>
      </c>
      <c r="W12" s="100" t="s">
        <v>455</v>
      </c>
      <c r="X12" s="100">
        <v>101250</v>
      </c>
      <c r="Y12" s="100" t="s">
        <v>455</v>
      </c>
      <c r="Z12" s="100">
        <v>101250</v>
      </c>
      <c r="AA12" s="100" t="s">
        <v>455</v>
      </c>
      <c r="AB12" s="100">
        <v>101250</v>
      </c>
      <c r="AC12" s="100" t="s">
        <v>455</v>
      </c>
      <c r="AD12" s="100">
        <v>101250</v>
      </c>
      <c r="AE12" s="100" t="s">
        <v>455</v>
      </c>
      <c r="AF12" s="100">
        <v>0</v>
      </c>
      <c r="AG12" s="100">
        <f t="shared" si="0"/>
        <v>0</v>
      </c>
      <c r="AH12" s="141">
        <f t="shared" si="1"/>
        <v>0</v>
      </c>
      <c r="AI12" s="100">
        <v>0</v>
      </c>
      <c r="AJ12" s="100">
        <v>0</v>
      </c>
      <c r="AK12" s="100">
        <v>0</v>
      </c>
      <c r="AL12" s="100">
        <v>0</v>
      </c>
      <c r="AM12" s="100">
        <v>0</v>
      </c>
      <c r="AN12" s="100">
        <v>0</v>
      </c>
      <c r="AO12" s="100">
        <v>0</v>
      </c>
      <c r="AP12" s="100"/>
      <c r="AQ12" s="100"/>
    </row>
    <row r="13" spans="1:43" ht="20.25" x14ac:dyDescent="0.25">
      <c r="A13" s="113" t="s">
        <v>32</v>
      </c>
      <c r="B13" s="113" t="s">
        <v>473</v>
      </c>
      <c r="C13" s="114" t="s">
        <v>503</v>
      </c>
      <c r="D13" s="107" t="s">
        <v>504</v>
      </c>
      <c r="E13" s="113" t="s">
        <v>545</v>
      </c>
      <c r="F13" s="129" t="s">
        <v>35</v>
      </c>
      <c r="G13" s="115" t="s">
        <v>295</v>
      </c>
      <c r="H13" s="130">
        <v>45688</v>
      </c>
      <c r="I13" s="111" t="s">
        <v>969</v>
      </c>
      <c r="J13" s="106" t="s">
        <v>970</v>
      </c>
      <c r="K13" s="126" t="s">
        <v>505</v>
      </c>
      <c r="L13" s="100">
        <v>0</v>
      </c>
      <c r="M13" s="100" t="s">
        <v>466</v>
      </c>
      <c r="N13" s="100">
        <v>0</v>
      </c>
      <c r="O13" s="100" t="s">
        <v>466</v>
      </c>
      <c r="P13" s="100">
        <v>0</v>
      </c>
      <c r="Q13" s="100" t="s">
        <v>466</v>
      </c>
      <c r="R13" s="100">
        <v>0</v>
      </c>
      <c r="S13" s="100" t="s">
        <v>466</v>
      </c>
      <c r="T13" s="100">
        <v>0</v>
      </c>
      <c r="U13" s="100" t="s">
        <v>466</v>
      </c>
      <c r="V13" s="100">
        <v>0</v>
      </c>
      <c r="W13" s="100" t="s">
        <v>466</v>
      </c>
      <c r="X13" s="100">
        <v>0</v>
      </c>
      <c r="Y13" s="100" t="s">
        <v>466</v>
      </c>
      <c r="Z13" s="100">
        <v>220000</v>
      </c>
      <c r="AA13" s="100" t="s">
        <v>455</v>
      </c>
      <c r="AB13" s="100">
        <v>220000</v>
      </c>
      <c r="AC13" s="100" t="s">
        <v>455</v>
      </c>
      <c r="AD13" s="100">
        <v>0</v>
      </c>
      <c r="AE13" s="100" t="s">
        <v>466</v>
      </c>
      <c r="AF13" s="100">
        <v>0</v>
      </c>
      <c r="AG13" s="100">
        <v>0</v>
      </c>
      <c r="AH13" s="141"/>
      <c r="AI13" s="100"/>
      <c r="AJ13" s="100"/>
      <c r="AK13" s="100"/>
      <c r="AL13" s="100"/>
      <c r="AM13" s="100"/>
      <c r="AN13" s="100"/>
      <c r="AO13" s="100"/>
      <c r="AP13" s="100"/>
      <c r="AQ13" s="100"/>
    </row>
    <row r="14" spans="1:43" ht="20.25" x14ac:dyDescent="0.25">
      <c r="A14" s="113" t="s">
        <v>32</v>
      </c>
      <c r="B14" s="113" t="s">
        <v>473</v>
      </c>
      <c r="C14" s="114" t="s">
        <v>503</v>
      </c>
      <c r="D14" s="107" t="s">
        <v>504</v>
      </c>
      <c r="E14" s="113" t="s">
        <v>545</v>
      </c>
      <c r="F14" s="129" t="s">
        <v>35</v>
      </c>
      <c r="G14" s="111" t="s">
        <v>34</v>
      </c>
      <c r="H14" s="131">
        <v>45671</v>
      </c>
      <c r="I14" s="131">
        <v>45778</v>
      </c>
      <c r="J14" s="106" t="s">
        <v>673</v>
      </c>
      <c r="K14" s="126" t="s">
        <v>505</v>
      </c>
      <c r="L14" s="100">
        <v>0</v>
      </c>
      <c r="M14" s="100" t="s">
        <v>466</v>
      </c>
      <c r="N14" s="100">
        <v>0</v>
      </c>
      <c r="O14" s="100" t="s">
        <v>466</v>
      </c>
      <c r="P14" s="100">
        <v>0</v>
      </c>
      <c r="Q14" s="100" t="s">
        <v>466</v>
      </c>
      <c r="R14" s="100">
        <v>0</v>
      </c>
      <c r="S14" s="100" t="s">
        <v>466</v>
      </c>
      <c r="T14" s="100">
        <v>444700</v>
      </c>
      <c r="U14" s="100" t="s">
        <v>455</v>
      </c>
      <c r="V14" s="100">
        <v>117000</v>
      </c>
      <c r="W14" s="100" t="s">
        <v>455</v>
      </c>
      <c r="X14" s="100">
        <v>0</v>
      </c>
      <c r="Y14" s="100" t="s">
        <v>466</v>
      </c>
      <c r="Z14" s="100">
        <v>0</v>
      </c>
      <c r="AA14" s="100" t="s">
        <v>466</v>
      </c>
      <c r="AB14" s="100">
        <v>0</v>
      </c>
      <c r="AC14" s="100" t="s">
        <v>466</v>
      </c>
      <c r="AD14" s="100">
        <v>0</v>
      </c>
      <c r="AE14" s="100" t="s">
        <v>466</v>
      </c>
      <c r="AF14" s="100">
        <v>0</v>
      </c>
      <c r="AG14" s="100">
        <f t="shared" si="0"/>
        <v>0</v>
      </c>
      <c r="AH14" s="141">
        <f t="shared" si="1"/>
        <v>561700</v>
      </c>
      <c r="AI14" s="100">
        <v>0</v>
      </c>
      <c r="AJ14" s="100">
        <v>0</v>
      </c>
      <c r="AK14" s="100">
        <v>0</v>
      </c>
      <c r="AL14" s="100">
        <v>0</v>
      </c>
      <c r="AM14" s="100">
        <v>0</v>
      </c>
      <c r="AN14" s="100">
        <v>561700</v>
      </c>
      <c r="AO14" s="100">
        <v>0</v>
      </c>
      <c r="AP14" s="100"/>
      <c r="AQ14" s="100"/>
    </row>
    <row r="15" spans="1:43" ht="20.25" x14ac:dyDescent="0.25">
      <c r="A15" s="113" t="s">
        <v>32</v>
      </c>
      <c r="B15" s="113" t="s">
        <v>473</v>
      </c>
      <c r="C15" s="114" t="s">
        <v>503</v>
      </c>
      <c r="D15" s="107" t="s">
        <v>504</v>
      </c>
      <c r="E15" s="113" t="s">
        <v>545</v>
      </c>
      <c r="F15" s="129" t="s">
        <v>35</v>
      </c>
      <c r="G15" s="111" t="s">
        <v>34</v>
      </c>
      <c r="H15" s="131">
        <v>45671</v>
      </c>
      <c r="I15" s="131">
        <v>45779</v>
      </c>
      <c r="J15" s="106" t="s">
        <v>674</v>
      </c>
      <c r="K15" s="126" t="s">
        <v>505</v>
      </c>
      <c r="L15" s="100">
        <v>0</v>
      </c>
      <c r="M15" s="100" t="s">
        <v>466</v>
      </c>
      <c r="N15" s="100">
        <v>0</v>
      </c>
      <c r="O15" s="100" t="s">
        <v>466</v>
      </c>
      <c r="P15" s="100">
        <v>0</v>
      </c>
      <c r="Q15" s="100" t="s">
        <v>466</v>
      </c>
      <c r="R15" s="100">
        <v>0</v>
      </c>
      <c r="S15" s="100" t="s">
        <v>466</v>
      </c>
      <c r="T15" s="100">
        <v>433000</v>
      </c>
      <c r="U15" s="100" t="s">
        <v>455</v>
      </c>
      <c r="V15" s="100">
        <v>153000</v>
      </c>
      <c r="W15" s="100" t="s">
        <v>455</v>
      </c>
      <c r="X15" s="100">
        <v>0</v>
      </c>
      <c r="Y15" s="100" t="s">
        <v>466</v>
      </c>
      <c r="Z15" s="100">
        <v>0</v>
      </c>
      <c r="AA15" s="100" t="s">
        <v>466</v>
      </c>
      <c r="AB15" s="100">
        <v>0</v>
      </c>
      <c r="AC15" s="100" t="s">
        <v>466</v>
      </c>
      <c r="AD15" s="100">
        <v>0</v>
      </c>
      <c r="AE15" s="100" t="s">
        <v>466</v>
      </c>
      <c r="AF15" s="100">
        <v>0</v>
      </c>
      <c r="AG15" s="100">
        <f t="shared" si="0"/>
        <v>0</v>
      </c>
      <c r="AH15" s="141">
        <f t="shared" si="1"/>
        <v>586000</v>
      </c>
      <c r="AI15" s="100">
        <v>0</v>
      </c>
      <c r="AJ15" s="100">
        <v>0</v>
      </c>
      <c r="AK15" s="100">
        <v>0</v>
      </c>
      <c r="AL15" s="100">
        <v>0</v>
      </c>
      <c r="AM15" s="100">
        <v>0</v>
      </c>
      <c r="AN15" s="100">
        <v>586000</v>
      </c>
      <c r="AO15" s="100">
        <v>0</v>
      </c>
      <c r="AP15" s="100"/>
      <c r="AQ15" s="100"/>
    </row>
    <row r="16" spans="1:43" ht="20.25" x14ac:dyDescent="0.25">
      <c r="A16" s="113" t="s">
        <v>32</v>
      </c>
      <c r="B16" s="113" t="s">
        <v>473</v>
      </c>
      <c r="C16" s="114" t="s">
        <v>503</v>
      </c>
      <c r="D16" s="107" t="s">
        <v>504</v>
      </c>
      <c r="E16" s="113" t="s">
        <v>545</v>
      </c>
      <c r="F16" s="129" t="s">
        <v>35</v>
      </c>
      <c r="G16" s="111" t="s">
        <v>34</v>
      </c>
      <c r="H16" s="131">
        <v>45671</v>
      </c>
      <c r="I16" s="131">
        <v>45780</v>
      </c>
      <c r="J16" s="106" t="s">
        <v>675</v>
      </c>
      <c r="K16" s="126" t="s">
        <v>505</v>
      </c>
      <c r="L16" s="100">
        <v>0</v>
      </c>
      <c r="M16" s="100" t="s">
        <v>466</v>
      </c>
      <c r="N16" s="100">
        <v>0</v>
      </c>
      <c r="O16" s="100" t="s">
        <v>466</v>
      </c>
      <c r="P16" s="100">
        <v>0</v>
      </c>
      <c r="Q16" s="100" t="s">
        <v>466</v>
      </c>
      <c r="R16" s="100">
        <v>0</v>
      </c>
      <c r="S16" s="100" t="s">
        <v>466</v>
      </c>
      <c r="T16" s="100">
        <v>275700</v>
      </c>
      <c r="U16" s="100" t="s">
        <v>455</v>
      </c>
      <c r="V16" s="100">
        <v>97200</v>
      </c>
      <c r="W16" s="100" t="s">
        <v>455</v>
      </c>
      <c r="X16" s="100">
        <v>0</v>
      </c>
      <c r="Y16" s="100" t="s">
        <v>466</v>
      </c>
      <c r="Z16" s="100">
        <v>0</v>
      </c>
      <c r="AA16" s="100" t="s">
        <v>466</v>
      </c>
      <c r="AB16" s="100">
        <v>0</v>
      </c>
      <c r="AC16" s="100" t="s">
        <v>466</v>
      </c>
      <c r="AD16" s="100">
        <v>0</v>
      </c>
      <c r="AE16" s="100" t="s">
        <v>466</v>
      </c>
      <c r="AF16" s="100">
        <v>0</v>
      </c>
      <c r="AG16" s="100">
        <f t="shared" si="0"/>
        <v>0</v>
      </c>
      <c r="AH16" s="141">
        <f t="shared" si="1"/>
        <v>372900</v>
      </c>
      <c r="AI16" s="100">
        <v>0</v>
      </c>
      <c r="AJ16" s="100">
        <v>0</v>
      </c>
      <c r="AK16" s="100">
        <v>0</v>
      </c>
      <c r="AL16" s="100">
        <v>0</v>
      </c>
      <c r="AM16" s="100">
        <v>0</v>
      </c>
      <c r="AN16" s="100">
        <v>372900</v>
      </c>
      <c r="AO16" s="100">
        <v>0</v>
      </c>
      <c r="AP16" s="100"/>
      <c r="AQ16" s="100"/>
    </row>
    <row r="17" spans="1:43" ht="20.25" x14ac:dyDescent="0.25">
      <c r="A17" s="113" t="s">
        <v>32</v>
      </c>
      <c r="B17" s="113" t="s">
        <v>473</v>
      </c>
      <c r="C17" s="114" t="s">
        <v>503</v>
      </c>
      <c r="D17" s="107" t="s">
        <v>504</v>
      </c>
      <c r="E17" s="113" t="s">
        <v>545</v>
      </c>
      <c r="F17" s="129" t="s">
        <v>35</v>
      </c>
      <c r="G17" s="111" t="s">
        <v>34</v>
      </c>
      <c r="H17" s="131">
        <v>45671</v>
      </c>
      <c r="I17" s="131">
        <v>45781</v>
      </c>
      <c r="J17" s="106" t="s">
        <v>676</v>
      </c>
      <c r="K17" s="126" t="s">
        <v>505</v>
      </c>
      <c r="L17" s="100">
        <v>0</v>
      </c>
      <c r="M17" s="100" t="s">
        <v>466</v>
      </c>
      <c r="N17" s="100">
        <v>0</v>
      </c>
      <c r="O17" s="100" t="s">
        <v>466</v>
      </c>
      <c r="P17" s="100">
        <v>0</v>
      </c>
      <c r="Q17" s="100" t="s">
        <v>466</v>
      </c>
      <c r="R17" s="100">
        <v>0</v>
      </c>
      <c r="S17" s="100" t="s">
        <v>466</v>
      </c>
      <c r="T17" s="100">
        <v>64720</v>
      </c>
      <c r="U17" s="100" t="s">
        <v>455</v>
      </c>
      <c r="V17" s="100">
        <v>36720</v>
      </c>
      <c r="W17" s="100" t="s">
        <v>455</v>
      </c>
      <c r="X17" s="100">
        <v>0</v>
      </c>
      <c r="Y17" s="100" t="s">
        <v>466</v>
      </c>
      <c r="Z17" s="100">
        <v>0</v>
      </c>
      <c r="AA17" s="100" t="s">
        <v>466</v>
      </c>
      <c r="AB17" s="100">
        <v>0</v>
      </c>
      <c r="AC17" s="100" t="s">
        <v>466</v>
      </c>
      <c r="AD17" s="100">
        <v>0</v>
      </c>
      <c r="AE17" s="100" t="s">
        <v>466</v>
      </c>
      <c r="AF17" s="100">
        <v>0</v>
      </c>
      <c r="AG17" s="100">
        <f t="shared" si="0"/>
        <v>0</v>
      </c>
      <c r="AH17" s="141">
        <f t="shared" si="1"/>
        <v>101440</v>
      </c>
      <c r="AI17" s="100">
        <v>0</v>
      </c>
      <c r="AJ17" s="100">
        <v>0</v>
      </c>
      <c r="AK17" s="100">
        <v>0</v>
      </c>
      <c r="AL17" s="100">
        <v>0</v>
      </c>
      <c r="AM17" s="100">
        <v>0</v>
      </c>
      <c r="AN17" s="100">
        <v>101440</v>
      </c>
      <c r="AO17" s="100">
        <v>0</v>
      </c>
      <c r="AP17" s="100"/>
      <c r="AQ17" s="100"/>
    </row>
    <row r="18" spans="1:43" ht="20.25" x14ac:dyDescent="0.25">
      <c r="A18" s="113" t="s">
        <v>32</v>
      </c>
      <c r="B18" s="113" t="s">
        <v>473</v>
      </c>
      <c r="C18" s="114" t="s">
        <v>503</v>
      </c>
      <c r="D18" s="107" t="s">
        <v>504</v>
      </c>
      <c r="E18" s="113" t="s">
        <v>545</v>
      </c>
      <c r="F18" s="129" t="s">
        <v>35</v>
      </c>
      <c r="G18" s="111" t="s">
        <v>34</v>
      </c>
      <c r="H18" s="131">
        <v>45671</v>
      </c>
      <c r="I18" s="131">
        <v>45839</v>
      </c>
      <c r="J18" s="106" t="s">
        <v>754</v>
      </c>
      <c r="K18" s="126" t="s">
        <v>505</v>
      </c>
      <c r="L18" s="100">
        <v>0</v>
      </c>
      <c r="M18" s="100" t="s">
        <v>466</v>
      </c>
      <c r="N18" s="100">
        <v>0</v>
      </c>
      <c r="O18" s="100" t="s">
        <v>466</v>
      </c>
      <c r="P18" s="100">
        <v>0</v>
      </c>
      <c r="Q18" s="100" t="s">
        <v>466</v>
      </c>
      <c r="R18" s="100">
        <v>0</v>
      </c>
      <c r="S18" s="100" t="s">
        <v>466</v>
      </c>
      <c r="T18" s="100">
        <v>0</v>
      </c>
      <c r="U18" s="100" t="s">
        <v>466</v>
      </c>
      <c r="V18" s="100">
        <v>0</v>
      </c>
      <c r="W18" s="100" t="s">
        <v>466</v>
      </c>
      <c r="X18" s="100">
        <v>444700</v>
      </c>
      <c r="Y18" s="100" t="s">
        <v>455</v>
      </c>
      <c r="Z18" s="100">
        <v>117000</v>
      </c>
      <c r="AA18" s="100" t="s">
        <v>455</v>
      </c>
      <c r="AB18" s="100">
        <v>444700</v>
      </c>
      <c r="AC18" s="100" t="s">
        <v>455</v>
      </c>
      <c r="AD18" s="100">
        <v>117000</v>
      </c>
      <c r="AE18" s="100" t="s">
        <v>455</v>
      </c>
      <c r="AF18" s="100">
        <v>0</v>
      </c>
      <c r="AG18" s="100">
        <f t="shared" si="0"/>
        <v>0</v>
      </c>
      <c r="AH18" s="141">
        <f t="shared" si="1"/>
        <v>0</v>
      </c>
      <c r="AI18" s="100">
        <v>0</v>
      </c>
      <c r="AJ18" s="100">
        <v>0</v>
      </c>
      <c r="AK18" s="100">
        <v>0</v>
      </c>
      <c r="AL18" s="100">
        <v>0</v>
      </c>
      <c r="AM18" s="100">
        <v>0</v>
      </c>
      <c r="AN18" s="100">
        <v>0</v>
      </c>
      <c r="AO18" s="100">
        <v>0</v>
      </c>
      <c r="AP18" s="100"/>
      <c r="AQ18" s="100"/>
    </row>
    <row r="19" spans="1:43" ht="20.25" x14ac:dyDescent="0.25">
      <c r="A19" s="113" t="s">
        <v>32</v>
      </c>
      <c r="B19" s="113" t="s">
        <v>473</v>
      </c>
      <c r="C19" s="114" t="s">
        <v>503</v>
      </c>
      <c r="D19" s="107" t="s">
        <v>504</v>
      </c>
      <c r="E19" s="113" t="s">
        <v>545</v>
      </c>
      <c r="F19" s="129" t="s">
        <v>35</v>
      </c>
      <c r="G19" s="111" t="s">
        <v>34</v>
      </c>
      <c r="H19" s="131">
        <v>45671</v>
      </c>
      <c r="I19" s="131">
        <v>45839</v>
      </c>
      <c r="J19" s="106" t="s">
        <v>755</v>
      </c>
      <c r="K19" s="126" t="s">
        <v>505</v>
      </c>
      <c r="L19" s="100">
        <v>0</v>
      </c>
      <c r="M19" s="100" t="s">
        <v>466</v>
      </c>
      <c r="N19" s="100">
        <v>0</v>
      </c>
      <c r="O19" s="100" t="s">
        <v>466</v>
      </c>
      <c r="P19" s="100">
        <v>0</v>
      </c>
      <c r="Q19" s="100" t="s">
        <v>466</v>
      </c>
      <c r="R19" s="100">
        <v>0</v>
      </c>
      <c r="S19" s="100" t="s">
        <v>466</v>
      </c>
      <c r="T19" s="100">
        <v>0</v>
      </c>
      <c r="U19" s="100" t="s">
        <v>466</v>
      </c>
      <c r="V19" s="100">
        <v>0</v>
      </c>
      <c r="W19" s="100" t="s">
        <v>466</v>
      </c>
      <c r="X19" s="100">
        <v>433000</v>
      </c>
      <c r="Y19" s="100" t="s">
        <v>455</v>
      </c>
      <c r="Z19" s="100">
        <v>153000</v>
      </c>
      <c r="AA19" s="100" t="s">
        <v>455</v>
      </c>
      <c r="AB19" s="100">
        <v>433000</v>
      </c>
      <c r="AC19" s="100" t="s">
        <v>455</v>
      </c>
      <c r="AD19" s="100">
        <v>153000</v>
      </c>
      <c r="AE19" s="100" t="s">
        <v>455</v>
      </c>
      <c r="AF19" s="100">
        <v>0</v>
      </c>
      <c r="AG19" s="100">
        <f t="shared" si="0"/>
        <v>0</v>
      </c>
      <c r="AH19" s="141">
        <f t="shared" si="1"/>
        <v>0</v>
      </c>
      <c r="AI19" s="100">
        <v>0</v>
      </c>
      <c r="AJ19" s="100">
        <v>0</v>
      </c>
      <c r="AK19" s="100">
        <v>0</v>
      </c>
      <c r="AL19" s="100">
        <v>0</v>
      </c>
      <c r="AM19" s="100">
        <v>0</v>
      </c>
      <c r="AN19" s="100">
        <v>0</v>
      </c>
      <c r="AO19" s="100">
        <v>0</v>
      </c>
      <c r="AP19" s="100"/>
      <c r="AQ19" s="100"/>
    </row>
    <row r="20" spans="1:43" ht="20.25" x14ac:dyDescent="0.25">
      <c r="A20" s="113" t="s">
        <v>32</v>
      </c>
      <c r="B20" s="113" t="s">
        <v>473</v>
      </c>
      <c r="C20" s="114" t="s">
        <v>503</v>
      </c>
      <c r="D20" s="107" t="s">
        <v>504</v>
      </c>
      <c r="E20" s="113" t="s">
        <v>545</v>
      </c>
      <c r="F20" s="129" t="s">
        <v>35</v>
      </c>
      <c r="G20" s="111" t="s">
        <v>34</v>
      </c>
      <c r="H20" s="131">
        <v>45671</v>
      </c>
      <c r="I20" s="131">
        <v>45839</v>
      </c>
      <c r="J20" s="106" t="s">
        <v>756</v>
      </c>
      <c r="K20" s="126" t="s">
        <v>505</v>
      </c>
      <c r="L20" s="100">
        <v>0</v>
      </c>
      <c r="M20" s="100" t="s">
        <v>466</v>
      </c>
      <c r="N20" s="100">
        <v>0</v>
      </c>
      <c r="O20" s="100" t="s">
        <v>466</v>
      </c>
      <c r="P20" s="100">
        <v>0</v>
      </c>
      <c r="Q20" s="100" t="s">
        <v>466</v>
      </c>
      <c r="R20" s="100">
        <v>0</v>
      </c>
      <c r="S20" s="100" t="s">
        <v>466</v>
      </c>
      <c r="T20" s="100">
        <v>0</v>
      </c>
      <c r="U20" s="100" t="s">
        <v>466</v>
      </c>
      <c r="V20" s="100">
        <v>0</v>
      </c>
      <c r="W20" s="100" t="s">
        <v>466</v>
      </c>
      <c r="X20" s="100">
        <v>275700</v>
      </c>
      <c r="Y20" s="100" t="s">
        <v>455</v>
      </c>
      <c r="Z20" s="100">
        <v>97200</v>
      </c>
      <c r="AA20" s="100" t="s">
        <v>455</v>
      </c>
      <c r="AB20" s="100">
        <v>275700</v>
      </c>
      <c r="AC20" s="100" t="s">
        <v>455</v>
      </c>
      <c r="AD20" s="100">
        <v>97200</v>
      </c>
      <c r="AE20" s="100" t="s">
        <v>455</v>
      </c>
      <c r="AF20" s="100">
        <v>0</v>
      </c>
      <c r="AG20" s="100">
        <f t="shared" si="0"/>
        <v>0</v>
      </c>
      <c r="AH20" s="141">
        <f t="shared" si="1"/>
        <v>0</v>
      </c>
      <c r="AI20" s="100">
        <v>0</v>
      </c>
      <c r="AJ20" s="100">
        <v>0</v>
      </c>
      <c r="AK20" s="100">
        <v>0</v>
      </c>
      <c r="AL20" s="100">
        <v>0</v>
      </c>
      <c r="AM20" s="100">
        <v>0</v>
      </c>
      <c r="AN20" s="100">
        <v>0</v>
      </c>
      <c r="AO20" s="100">
        <v>0</v>
      </c>
      <c r="AP20" s="100"/>
      <c r="AQ20" s="100"/>
    </row>
    <row r="21" spans="1:43" ht="20.25" x14ac:dyDescent="0.25">
      <c r="A21" s="113" t="s">
        <v>32</v>
      </c>
      <c r="B21" s="113" t="s">
        <v>473</v>
      </c>
      <c r="C21" s="114" t="s">
        <v>503</v>
      </c>
      <c r="D21" s="107" t="s">
        <v>504</v>
      </c>
      <c r="E21" s="113" t="s">
        <v>545</v>
      </c>
      <c r="F21" s="129" t="s">
        <v>35</v>
      </c>
      <c r="G21" s="111" t="s">
        <v>34</v>
      </c>
      <c r="H21" s="131">
        <v>45671</v>
      </c>
      <c r="I21" s="131">
        <v>45839</v>
      </c>
      <c r="J21" s="106" t="s">
        <v>757</v>
      </c>
      <c r="K21" s="126" t="s">
        <v>505</v>
      </c>
      <c r="L21" s="100">
        <v>0</v>
      </c>
      <c r="M21" s="100" t="s">
        <v>466</v>
      </c>
      <c r="N21" s="100">
        <v>0</v>
      </c>
      <c r="O21" s="100" t="s">
        <v>466</v>
      </c>
      <c r="P21" s="100">
        <v>0</v>
      </c>
      <c r="Q21" s="100" t="s">
        <v>466</v>
      </c>
      <c r="R21" s="100">
        <v>0</v>
      </c>
      <c r="S21" s="100" t="s">
        <v>466</v>
      </c>
      <c r="T21" s="100">
        <v>0</v>
      </c>
      <c r="U21" s="100" t="s">
        <v>466</v>
      </c>
      <c r="V21" s="100">
        <v>0</v>
      </c>
      <c r="W21" s="100" t="s">
        <v>466</v>
      </c>
      <c r="X21" s="100">
        <v>64720</v>
      </c>
      <c r="Y21" s="100" t="s">
        <v>455</v>
      </c>
      <c r="Z21" s="100">
        <v>36720</v>
      </c>
      <c r="AA21" s="100" t="s">
        <v>455</v>
      </c>
      <c r="AB21" s="100">
        <v>64720</v>
      </c>
      <c r="AC21" s="100" t="s">
        <v>455</v>
      </c>
      <c r="AD21" s="100">
        <v>36720</v>
      </c>
      <c r="AE21" s="100" t="s">
        <v>455</v>
      </c>
      <c r="AF21" s="100">
        <v>0</v>
      </c>
      <c r="AG21" s="100">
        <f t="shared" si="0"/>
        <v>0</v>
      </c>
      <c r="AH21" s="141">
        <f t="shared" si="1"/>
        <v>0</v>
      </c>
      <c r="AI21" s="100">
        <v>0</v>
      </c>
      <c r="AJ21" s="100">
        <v>0</v>
      </c>
      <c r="AK21" s="100">
        <v>0</v>
      </c>
      <c r="AL21" s="100">
        <v>0</v>
      </c>
      <c r="AM21" s="100">
        <v>0</v>
      </c>
      <c r="AN21" s="100">
        <v>0</v>
      </c>
      <c r="AO21" s="100">
        <v>0</v>
      </c>
      <c r="AP21" s="100"/>
      <c r="AQ21" s="100"/>
    </row>
    <row r="22" spans="1:43" ht="21" x14ac:dyDescent="0.25">
      <c r="A22" s="113" t="s">
        <v>19</v>
      </c>
      <c r="B22" s="113" t="s">
        <v>473</v>
      </c>
      <c r="C22" s="114" t="s">
        <v>510</v>
      </c>
      <c r="D22" s="107" t="s">
        <v>186</v>
      </c>
      <c r="E22" s="109" t="s">
        <v>456</v>
      </c>
      <c r="F22" s="129" t="s">
        <v>186</v>
      </c>
      <c r="G22" s="111" t="s">
        <v>717</v>
      </c>
      <c r="H22" s="131">
        <v>45748</v>
      </c>
      <c r="I22" s="131">
        <v>45748</v>
      </c>
      <c r="J22" s="104" t="s">
        <v>841</v>
      </c>
      <c r="K22" s="116" t="s">
        <v>530</v>
      </c>
      <c r="L22" s="100">
        <v>0</v>
      </c>
      <c r="M22" s="100" t="s">
        <v>466</v>
      </c>
      <c r="N22" s="100">
        <v>0</v>
      </c>
      <c r="O22" s="100" t="s">
        <v>466</v>
      </c>
      <c r="P22" s="100">
        <v>0</v>
      </c>
      <c r="Q22" s="100" t="s">
        <v>466</v>
      </c>
      <c r="R22" s="100">
        <v>20000</v>
      </c>
      <c r="S22" s="100" t="s">
        <v>455</v>
      </c>
      <c r="T22" s="100">
        <v>10000</v>
      </c>
      <c r="U22" s="100" t="s">
        <v>455</v>
      </c>
      <c r="V22" s="100">
        <v>10000</v>
      </c>
      <c r="W22" s="100" t="s">
        <v>455</v>
      </c>
      <c r="X22" s="100">
        <v>10000</v>
      </c>
      <c r="Y22" s="100" t="s">
        <v>455</v>
      </c>
      <c r="Z22" s="100">
        <v>10000</v>
      </c>
      <c r="AA22" s="100" t="s">
        <v>455</v>
      </c>
      <c r="AB22" s="100">
        <v>10000</v>
      </c>
      <c r="AC22" s="100" t="s">
        <v>455</v>
      </c>
      <c r="AD22" s="100">
        <v>10000</v>
      </c>
      <c r="AE22" s="100" t="s">
        <v>455</v>
      </c>
      <c r="AF22" s="100">
        <f>SUMIF(K22:V22,"&lt;0")</f>
        <v>0</v>
      </c>
      <c r="AG22" s="100">
        <f t="shared" si="0"/>
        <v>0</v>
      </c>
      <c r="AH22" s="141">
        <f t="shared" si="1"/>
        <v>50000</v>
      </c>
      <c r="AI22" s="100">
        <v>0</v>
      </c>
      <c r="AJ22" s="100">
        <v>0</v>
      </c>
      <c r="AK22" s="100">
        <v>0</v>
      </c>
      <c r="AL22" s="100">
        <v>0</v>
      </c>
      <c r="AM22" s="100">
        <v>0</v>
      </c>
      <c r="AN22" s="100">
        <v>40000</v>
      </c>
      <c r="AO22" s="100">
        <v>10000</v>
      </c>
      <c r="AP22" s="100"/>
      <c r="AQ22" s="100"/>
    </row>
    <row r="23" spans="1:43" ht="20.25" x14ac:dyDescent="0.25">
      <c r="A23" s="113" t="s">
        <v>19</v>
      </c>
      <c r="B23" s="113" t="s">
        <v>474</v>
      </c>
      <c r="C23" s="129" t="s">
        <v>511</v>
      </c>
      <c r="D23" s="112" t="s">
        <v>95</v>
      </c>
      <c r="E23" s="113" t="s">
        <v>531</v>
      </c>
      <c r="F23" s="129" t="s">
        <v>95</v>
      </c>
      <c r="G23" s="113" t="s">
        <v>41</v>
      </c>
      <c r="H23" s="132">
        <v>45708</v>
      </c>
      <c r="I23" s="132">
        <v>45717</v>
      </c>
      <c r="J23" s="104" t="s">
        <v>42</v>
      </c>
      <c r="K23" s="116" t="s">
        <v>532</v>
      </c>
      <c r="L23" s="100">
        <v>0</v>
      </c>
      <c r="M23" s="100" t="s">
        <v>466</v>
      </c>
      <c r="N23" s="100">
        <v>0</v>
      </c>
      <c r="O23" s="100" t="s">
        <v>466</v>
      </c>
      <c r="P23" s="100">
        <v>65000</v>
      </c>
      <c r="Q23" s="100" t="s">
        <v>455</v>
      </c>
      <c r="R23" s="100">
        <v>65000</v>
      </c>
      <c r="S23" s="100" t="s">
        <v>455</v>
      </c>
      <c r="T23" s="100">
        <v>65000</v>
      </c>
      <c r="U23" s="100" t="s">
        <v>455</v>
      </c>
      <c r="V23" s="100">
        <v>65000</v>
      </c>
      <c r="W23" s="100" t="s">
        <v>455</v>
      </c>
      <c r="X23" s="100">
        <v>65000</v>
      </c>
      <c r="Y23" s="100" t="s">
        <v>455</v>
      </c>
      <c r="Z23" s="100">
        <v>65000</v>
      </c>
      <c r="AA23" s="100" t="s">
        <v>455</v>
      </c>
      <c r="AB23" s="100">
        <v>65000</v>
      </c>
      <c r="AC23" s="100" t="s">
        <v>455</v>
      </c>
      <c r="AD23" s="100">
        <v>65000</v>
      </c>
      <c r="AE23" s="100" t="s">
        <v>455</v>
      </c>
      <c r="AF23" s="100">
        <v>0</v>
      </c>
      <c r="AG23" s="100">
        <f t="shared" si="0"/>
        <v>0</v>
      </c>
      <c r="AH23" s="141">
        <f t="shared" si="1"/>
        <v>260000</v>
      </c>
      <c r="AI23" s="100">
        <v>0</v>
      </c>
      <c r="AJ23" s="100">
        <v>0</v>
      </c>
      <c r="AK23" s="100">
        <v>65000</v>
      </c>
      <c r="AL23" s="100">
        <v>65000</v>
      </c>
      <c r="AM23" s="100">
        <v>65000</v>
      </c>
      <c r="AN23" s="100">
        <v>65000</v>
      </c>
      <c r="AO23" s="100">
        <v>0</v>
      </c>
      <c r="AP23" s="100"/>
      <c r="AQ23" s="100"/>
    </row>
    <row r="24" spans="1:43" ht="20.25" x14ac:dyDescent="0.25">
      <c r="A24" s="113" t="s">
        <v>19</v>
      </c>
      <c r="B24" s="113" t="s">
        <v>474</v>
      </c>
      <c r="C24" s="129" t="s">
        <v>511</v>
      </c>
      <c r="D24" s="112" t="s">
        <v>95</v>
      </c>
      <c r="E24" s="113" t="s">
        <v>531</v>
      </c>
      <c r="F24" s="129" t="s">
        <v>95</v>
      </c>
      <c r="G24" s="113" t="s">
        <v>43</v>
      </c>
      <c r="H24" s="132">
        <v>45708</v>
      </c>
      <c r="I24" s="132">
        <v>45717</v>
      </c>
      <c r="J24" s="106" t="s">
        <v>622</v>
      </c>
      <c r="K24" s="116" t="s">
        <v>532</v>
      </c>
      <c r="L24" s="100">
        <v>0</v>
      </c>
      <c r="M24" s="100" t="s">
        <v>466</v>
      </c>
      <c r="N24" s="100">
        <v>0</v>
      </c>
      <c r="O24" s="100" t="s">
        <v>466</v>
      </c>
      <c r="P24" s="100">
        <v>45000</v>
      </c>
      <c r="Q24" s="100" t="s">
        <v>455</v>
      </c>
      <c r="R24" s="100">
        <v>45000</v>
      </c>
      <c r="S24" s="100" t="s">
        <v>455</v>
      </c>
      <c r="T24" s="100">
        <v>45000</v>
      </c>
      <c r="U24" s="100" t="s">
        <v>455</v>
      </c>
      <c r="V24" s="100">
        <v>45000</v>
      </c>
      <c r="W24" s="100" t="s">
        <v>455</v>
      </c>
      <c r="X24" s="100">
        <v>45000</v>
      </c>
      <c r="Y24" s="100" t="s">
        <v>455</v>
      </c>
      <c r="Z24" s="100">
        <v>45000</v>
      </c>
      <c r="AA24" s="100" t="s">
        <v>455</v>
      </c>
      <c r="AB24" s="100">
        <v>45000</v>
      </c>
      <c r="AC24" s="100" t="s">
        <v>455</v>
      </c>
      <c r="AD24" s="100">
        <v>45000</v>
      </c>
      <c r="AE24" s="100" t="s">
        <v>455</v>
      </c>
      <c r="AF24" s="100">
        <v>0</v>
      </c>
      <c r="AG24" s="100">
        <f t="shared" si="0"/>
        <v>0</v>
      </c>
      <c r="AH24" s="141">
        <f t="shared" si="1"/>
        <v>180000</v>
      </c>
      <c r="AI24" s="100">
        <v>0</v>
      </c>
      <c r="AJ24" s="100">
        <v>0</v>
      </c>
      <c r="AK24" s="100">
        <v>45000</v>
      </c>
      <c r="AL24" s="100">
        <v>45000</v>
      </c>
      <c r="AM24" s="100">
        <v>45000</v>
      </c>
      <c r="AN24" s="100">
        <v>45000</v>
      </c>
      <c r="AO24" s="100">
        <v>0</v>
      </c>
      <c r="AP24" s="100"/>
      <c r="AQ24" s="100"/>
    </row>
    <row r="25" spans="1:43" ht="21" x14ac:dyDescent="0.25">
      <c r="A25" s="113" t="s">
        <v>32</v>
      </c>
      <c r="B25" s="113" t="s">
        <v>474</v>
      </c>
      <c r="C25" s="129" t="s">
        <v>513</v>
      </c>
      <c r="D25" s="112" t="s">
        <v>512</v>
      </c>
      <c r="E25" s="109" t="s">
        <v>456</v>
      </c>
      <c r="F25" s="129" t="s">
        <v>554</v>
      </c>
      <c r="G25" s="113" t="s">
        <v>289</v>
      </c>
      <c r="H25" s="132">
        <v>45714</v>
      </c>
      <c r="I25" s="132">
        <v>45717</v>
      </c>
      <c r="J25" s="104" t="s">
        <v>290</v>
      </c>
      <c r="K25" s="116" t="s">
        <v>546</v>
      </c>
      <c r="L25" s="100">
        <v>0</v>
      </c>
      <c r="M25" s="100" t="s">
        <v>466</v>
      </c>
      <c r="N25" s="100">
        <v>0</v>
      </c>
      <c r="O25" s="100" t="s">
        <v>466</v>
      </c>
      <c r="P25" s="100">
        <v>86000</v>
      </c>
      <c r="Q25" s="100" t="s">
        <v>455</v>
      </c>
      <c r="R25" s="100">
        <v>0</v>
      </c>
      <c r="S25" s="100" t="s">
        <v>466</v>
      </c>
      <c r="T25" s="100">
        <v>0</v>
      </c>
      <c r="U25" s="100" t="s">
        <v>466</v>
      </c>
      <c r="V25" s="100">
        <v>0</v>
      </c>
      <c r="W25" s="100" t="s">
        <v>466</v>
      </c>
      <c r="X25" s="100">
        <v>0</v>
      </c>
      <c r="Y25" s="100" t="s">
        <v>466</v>
      </c>
      <c r="Z25" s="100">
        <v>0</v>
      </c>
      <c r="AA25" s="100" t="s">
        <v>466</v>
      </c>
      <c r="AB25" s="100">
        <v>0</v>
      </c>
      <c r="AC25" s="100" t="s">
        <v>466</v>
      </c>
      <c r="AD25" s="100">
        <v>0</v>
      </c>
      <c r="AE25" s="100" t="s">
        <v>466</v>
      </c>
      <c r="AF25" s="100">
        <v>0</v>
      </c>
      <c r="AG25" s="100">
        <f t="shared" si="0"/>
        <v>0</v>
      </c>
      <c r="AH25" s="141">
        <f t="shared" si="1"/>
        <v>86000</v>
      </c>
      <c r="AI25" s="100">
        <v>0</v>
      </c>
      <c r="AJ25" s="100">
        <v>0</v>
      </c>
      <c r="AK25" s="100">
        <v>86000</v>
      </c>
      <c r="AL25" s="100">
        <v>0</v>
      </c>
      <c r="AM25" s="100">
        <v>0</v>
      </c>
      <c r="AN25" s="100">
        <v>0</v>
      </c>
      <c r="AO25" s="100">
        <v>0</v>
      </c>
      <c r="AP25" s="100"/>
      <c r="AQ25" s="100"/>
    </row>
    <row r="26" spans="1:43" ht="21" x14ac:dyDescent="0.25">
      <c r="A26" s="113" t="s">
        <v>32</v>
      </c>
      <c r="B26" s="113" t="s">
        <v>474</v>
      </c>
      <c r="C26" s="129" t="s">
        <v>517</v>
      </c>
      <c r="D26" s="112" t="s">
        <v>516</v>
      </c>
      <c r="E26" s="109" t="s">
        <v>456</v>
      </c>
      <c r="F26" s="129" t="s">
        <v>555</v>
      </c>
      <c r="G26" s="110" t="s">
        <v>46</v>
      </c>
      <c r="H26" s="133">
        <v>45700</v>
      </c>
      <c r="I26" s="133">
        <v>45709</v>
      </c>
      <c r="J26" s="104" t="s">
        <v>47</v>
      </c>
      <c r="K26" s="127" t="s">
        <v>548</v>
      </c>
      <c r="L26" s="100">
        <v>0</v>
      </c>
      <c r="M26" s="100" t="s">
        <v>466</v>
      </c>
      <c r="N26" s="100">
        <v>13500</v>
      </c>
      <c r="O26" s="100" t="s">
        <v>455</v>
      </c>
      <c r="P26" s="100">
        <v>5000</v>
      </c>
      <c r="Q26" s="100" t="s">
        <v>455</v>
      </c>
      <c r="R26" s="100">
        <v>5000</v>
      </c>
      <c r="S26" s="100" t="s">
        <v>455</v>
      </c>
      <c r="T26" s="100">
        <v>5000</v>
      </c>
      <c r="U26" s="100" t="s">
        <v>455</v>
      </c>
      <c r="V26" s="100">
        <v>1546.97</v>
      </c>
      <c r="W26" s="100" t="s">
        <v>455</v>
      </c>
      <c r="X26" s="100">
        <v>5000</v>
      </c>
      <c r="Y26" s="100" t="s">
        <v>455</v>
      </c>
      <c r="Z26" s="100">
        <v>3314.91</v>
      </c>
      <c r="AA26" s="100" t="s">
        <v>455</v>
      </c>
      <c r="AB26" s="100">
        <v>0</v>
      </c>
      <c r="AC26" s="100" t="s">
        <v>466</v>
      </c>
      <c r="AD26" s="100">
        <v>0</v>
      </c>
      <c r="AE26" s="100" t="s">
        <v>466</v>
      </c>
      <c r="AF26" s="100">
        <v>0</v>
      </c>
      <c r="AG26" s="100">
        <f t="shared" si="0"/>
        <v>0</v>
      </c>
      <c r="AH26" s="141">
        <f>SUM(AI26:AQ26)</f>
        <v>31814.91</v>
      </c>
      <c r="AI26" s="100">
        <v>0</v>
      </c>
      <c r="AJ26" s="100">
        <v>0</v>
      </c>
      <c r="AK26" s="100">
        <v>13500</v>
      </c>
      <c r="AL26" s="100">
        <v>5000</v>
      </c>
      <c r="AM26" s="100">
        <v>5000</v>
      </c>
      <c r="AN26" s="100">
        <v>5000</v>
      </c>
      <c r="AO26" s="100">
        <v>0</v>
      </c>
      <c r="AP26" s="100">
        <v>0</v>
      </c>
      <c r="AQ26" s="100">
        <v>3314.91</v>
      </c>
    </row>
    <row r="27" spans="1:43" ht="30" customHeight="1" x14ac:dyDescent="0.25">
      <c r="A27" s="113" t="s">
        <v>19</v>
      </c>
      <c r="B27" s="113" t="s">
        <v>473</v>
      </c>
      <c r="C27" s="129" t="s">
        <v>687</v>
      </c>
      <c r="D27" s="112" t="s">
        <v>524</v>
      </c>
      <c r="E27" s="109" t="s">
        <v>456</v>
      </c>
      <c r="F27" s="129" t="s">
        <v>297</v>
      </c>
      <c r="G27" s="110" t="s">
        <v>298</v>
      </c>
      <c r="H27" s="133">
        <v>44694</v>
      </c>
      <c r="I27" s="133">
        <v>44713</v>
      </c>
      <c r="J27" s="104" t="s">
        <v>299</v>
      </c>
      <c r="K27" s="127" t="s">
        <v>688</v>
      </c>
      <c r="L27" s="100">
        <v>100000</v>
      </c>
      <c r="M27" s="100" t="s">
        <v>455</v>
      </c>
      <c r="N27" s="100">
        <v>100000</v>
      </c>
      <c r="O27" s="100" t="s">
        <v>455</v>
      </c>
      <c r="P27" s="100">
        <v>100000</v>
      </c>
      <c r="Q27" s="100" t="s">
        <v>455</v>
      </c>
      <c r="R27" s="100">
        <v>100000</v>
      </c>
      <c r="S27" s="100" t="s">
        <v>455</v>
      </c>
      <c r="T27" s="100">
        <v>100000</v>
      </c>
      <c r="U27" s="100" t="s">
        <v>455</v>
      </c>
      <c r="V27" s="100">
        <v>100000</v>
      </c>
      <c r="W27" s="100" t="s">
        <v>455</v>
      </c>
      <c r="X27" s="100">
        <v>100000</v>
      </c>
      <c r="Y27" s="100" t="s">
        <v>455</v>
      </c>
      <c r="Z27" s="100">
        <v>100000</v>
      </c>
      <c r="AA27" s="100" t="s">
        <v>455</v>
      </c>
      <c r="AB27" s="100">
        <v>100000</v>
      </c>
      <c r="AC27" s="100" t="s">
        <v>455</v>
      </c>
      <c r="AD27" s="100">
        <v>100000</v>
      </c>
      <c r="AE27" s="100" t="s">
        <v>455</v>
      </c>
      <c r="AF27" s="100">
        <v>0</v>
      </c>
      <c r="AG27" s="100">
        <f t="shared" si="0"/>
        <v>0</v>
      </c>
      <c r="AH27" s="141">
        <f t="shared" ref="AH27:AH59" si="3">SUM(AI27:AQ27)</f>
        <v>600000</v>
      </c>
      <c r="AI27" s="100">
        <v>100000</v>
      </c>
      <c r="AJ27" s="100">
        <v>0</v>
      </c>
      <c r="AK27" s="100">
        <v>0</v>
      </c>
      <c r="AL27" s="100">
        <v>0</v>
      </c>
      <c r="AM27" s="100">
        <v>0</v>
      </c>
      <c r="AN27" s="100">
        <v>300000</v>
      </c>
      <c r="AO27" s="100">
        <v>200000</v>
      </c>
      <c r="AP27" s="100"/>
      <c r="AQ27" s="100"/>
    </row>
    <row r="28" spans="1:43" ht="21" x14ac:dyDescent="0.25">
      <c r="A28" s="115" t="s">
        <v>19</v>
      </c>
      <c r="B28" s="113" t="s">
        <v>474</v>
      </c>
      <c r="C28" s="129" t="s">
        <v>522</v>
      </c>
      <c r="D28" s="112" t="s">
        <v>523</v>
      </c>
      <c r="E28" s="109" t="s">
        <v>456</v>
      </c>
      <c r="F28" s="129" t="s">
        <v>181</v>
      </c>
      <c r="G28" s="113" t="s">
        <v>182</v>
      </c>
      <c r="H28" s="132">
        <v>46009</v>
      </c>
      <c r="I28" s="113" t="s">
        <v>656</v>
      </c>
      <c r="J28" s="104" t="s">
        <v>284</v>
      </c>
      <c r="K28" s="127" t="s">
        <v>553</v>
      </c>
      <c r="L28" s="100">
        <v>17800</v>
      </c>
      <c r="M28" s="100" t="s">
        <v>455</v>
      </c>
      <c r="N28" s="100">
        <v>17800</v>
      </c>
      <c r="O28" s="100" t="s">
        <v>455</v>
      </c>
      <c r="P28" s="100">
        <v>17800</v>
      </c>
      <c r="Q28" s="100" t="s">
        <v>455</v>
      </c>
      <c r="R28" s="100">
        <v>17800</v>
      </c>
      <c r="S28" s="100" t="s">
        <v>455</v>
      </c>
      <c r="T28" s="100">
        <v>17800</v>
      </c>
      <c r="U28" s="100" t="s">
        <v>455</v>
      </c>
      <c r="V28" s="100">
        <v>17800</v>
      </c>
      <c r="W28" s="100" t="s">
        <v>455</v>
      </c>
      <c r="X28" s="100">
        <v>17800</v>
      </c>
      <c r="Y28" s="100" t="s">
        <v>455</v>
      </c>
      <c r="Z28" s="100">
        <v>17800</v>
      </c>
      <c r="AA28" s="100" t="s">
        <v>455</v>
      </c>
      <c r="AB28" s="100">
        <v>17800</v>
      </c>
      <c r="AC28" s="100" t="s">
        <v>455</v>
      </c>
      <c r="AD28" s="100">
        <v>17800</v>
      </c>
      <c r="AE28" s="100">
        <f t="shared" ref="AE28:AE33" si="4">-AD28</f>
        <v>-17800</v>
      </c>
      <c r="AF28" s="100">
        <v>0</v>
      </c>
      <c r="AG28" s="100">
        <f t="shared" si="0"/>
        <v>0</v>
      </c>
      <c r="AH28" s="141">
        <f t="shared" si="3"/>
        <v>71200</v>
      </c>
      <c r="AI28" s="100">
        <v>0</v>
      </c>
      <c r="AJ28" s="100">
        <v>0</v>
      </c>
      <c r="AK28" s="100">
        <v>0</v>
      </c>
      <c r="AL28" s="100">
        <v>53400</v>
      </c>
      <c r="AM28" s="100">
        <v>0</v>
      </c>
      <c r="AN28" s="100">
        <v>0</v>
      </c>
      <c r="AO28" s="100">
        <v>17800</v>
      </c>
      <c r="AP28" s="100"/>
      <c r="AQ28" s="100"/>
    </row>
    <row r="29" spans="1:43" ht="21" x14ac:dyDescent="0.25">
      <c r="A29" s="115" t="s">
        <v>19</v>
      </c>
      <c r="B29" s="113" t="s">
        <v>474</v>
      </c>
      <c r="C29" s="129" t="s">
        <v>522</v>
      </c>
      <c r="D29" s="112" t="s">
        <v>523</v>
      </c>
      <c r="E29" s="109" t="s">
        <v>456</v>
      </c>
      <c r="F29" s="129" t="s">
        <v>181</v>
      </c>
      <c r="G29" s="113" t="s">
        <v>182</v>
      </c>
      <c r="H29" s="132">
        <v>46009</v>
      </c>
      <c r="I29" s="113" t="s">
        <v>656</v>
      </c>
      <c r="J29" s="104" t="s">
        <v>285</v>
      </c>
      <c r="K29" s="127" t="s">
        <v>553</v>
      </c>
      <c r="L29" s="100">
        <v>15260</v>
      </c>
      <c r="M29" s="100" t="s">
        <v>455</v>
      </c>
      <c r="N29" s="100">
        <v>15260</v>
      </c>
      <c r="O29" s="100" t="s">
        <v>455</v>
      </c>
      <c r="P29" s="100">
        <v>15260</v>
      </c>
      <c r="Q29" s="100" t="s">
        <v>455</v>
      </c>
      <c r="R29" s="100">
        <v>15260</v>
      </c>
      <c r="S29" s="100" t="s">
        <v>455</v>
      </c>
      <c r="T29" s="100">
        <v>15260</v>
      </c>
      <c r="U29" s="100" t="s">
        <v>455</v>
      </c>
      <c r="V29" s="100">
        <v>15260</v>
      </c>
      <c r="W29" s="100" t="s">
        <v>455</v>
      </c>
      <c r="X29" s="100">
        <v>15260</v>
      </c>
      <c r="Y29" s="100" t="s">
        <v>455</v>
      </c>
      <c r="Z29" s="100">
        <v>15260</v>
      </c>
      <c r="AA29" s="100" t="s">
        <v>455</v>
      </c>
      <c r="AB29" s="100">
        <v>15260</v>
      </c>
      <c r="AC29" s="100" t="s">
        <v>455</v>
      </c>
      <c r="AD29" s="100">
        <v>15260</v>
      </c>
      <c r="AE29" s="100">
        <f t="shared" si="4"/>
        <v>-15260</v>
      </c>
      <c r="AF29" s="100">
        <v>0</v>
      </c>
      <c r="AG29" s="100">
        <f t="shared" si="0"/>
        <v>0</v>
      </c>
      <c r="AH29" s="141">
        <f t="shared" si="3"/>
        <v>61040</v>
      </c>
      <c r="AI29" s="100">
        <v>0</v>
      </c>
      <c r="AJ29" s="100">
        <v>0</v>
      </c>
      <c r="AK29" s="100">
        <v>0</v>
      </c>
      <c r="AL29" s="100">
        <v>45780</v>
      </c>
      <c r="AM29" s="100">
        <v>0</v>
      </c>
      <c r="AN29" s="100">
        <v>0</v>
      </c>
      <c r="AO29" s="100">
        <v>15260</v>
      </c>
      <c r="AP29" s="100"/>
      <c r="AQ29" s="100"/>
    </row>
    <row r="30" spans="1:43" ht="21" x14ac:dyDescent="0.25">
      <c r="A30" s="115" t="s">
        <v>19</v>
      </c>
      <c r="B30" s="113" t="s">
        <v>474</v>
      </c>
      <c r="C30" s="129" t="s">
        <v>522</v>
      </c>
      <c r="D30" s="112" t="s">
        <v>523</v>
      </c>
      <c r="E30" s="109" t="s">
        <v>456</v>
      </c>
      <c r="F30" s="129" t="s">
        <v>181</v>
      </c>
      <c r="G30" s="113" t="s">
        <v>182</v>
      </c>
      <c r="H30" s="132">
        <v>46009</v>
      </c>
      <c r="I30" s="113" t="s">
        <v>656</v>
      </c>
      <c r="J30" s="104" t="s">
        <v>286</v>
      </c>
      <c r="K30" s="127" t="s">
        <v>553</v>
      </c>
      <c r="L30" s="100">
        <v>15260</v>
      </c>
      <c r="M30" s="100" t="s">
        <v>455</v>
      </c>
      <c r="N30" s="100">
        <v>15260</v>
      </c>
      <c r="O30" s="100" t="s">
        <v>455</v>
      </c>
      <c r="P30" s="100">
        <v>15260</v>
      </c>
      <c r="Q30" s="100" t="s">
        <v>455</v>
      </c>
      <c r="R30" s="100">
        <v>15260</v>
      </c>
      <c r="S30" s="100" t="s">
        <v>455</v>
      </c>
      <c r="T30" s="100">
        <v>15260</v>
      </c>
      <c r="U30" s="100" t="s">
        <v>455</v>
      </c>
      <c r="V30" s="100">
        <v>15260</v>
      </c>
      <c r="W30" s="100" t="s">
        <v>455</v>
      </c>
      <c r="X30" s="100">
        <v>15260</v>
      </c>
      <c r="Y30" s="100" t="s">
        <v>455</v>
      </c>
      <c r="Z30" s="100">
        <v>15260</v>
      </c>
      <c r="AA30" s="100" t="s">
        <v>455</v>
      </c>
      <c r="AB30" s="100">
        <v>15260</v>
      </c>
      <c r="AC30" s="100" t="s">
        <v>455</v>
      </c>
      <c r="AD30" s="100">
        <v>15260</v>
      </c>
      <c r="AE30" s="100">
        <f t="shared" si="4"/>
        <v>-15260</v>
      </c>
      <c r="AF30" s="100">
        <v>0</v>
      </c>
      <c r="AG30" s="100">
        <f t="shared" si="0"/>
        <v>0</v>
      </c>
      <c r="AH30" s="141">
        <f t="shared" si="3"/>
        <v>61040</v>
      </c>
      <c r="AI30" s="100">
        <v>0</v>
      </c>
      <c r="AJ30" s="100">
        <v>0</v>
      </c>
      <c r="AK30" s="100">
        <v>0</v>
      </c>
      <c r="AL30" s="100">
        <v>45780</v>
      </c>
      <c r="AM30" s="100">
        <v>0</v>
      </c>
      <c r="AN30" s="100">
        <v>0</v>
      </c>
      <c r="AO30" s="100">
        <v>15260</v>
      </c>
      <c r="AP30" s="100"/>
      <c r="AQ30" s="100"/>
    </row>
    <row r="31" spans="1:43" ht="21" x14ac:dyDescent="0.25">
      <c r="A31" s="115" t="s">
        <v>19</v>
      </c>
      <c r="B31" s="113" t="s">
        <v>474</v>
      </c>
      <c r="C31" s="129" t="s">
        <v>522</v>
      </c>
      <c r="D31" s="112" t="s">
        <v>523</v>
      </c>
      <c r="E31" s="109" t="s">
        <v>456</v>
      </c>
      <c r="F31" s="129" t="s">
        <v>181</v>
      </c>
      <c r="G31" s="113" t="s">
        <v>182</v>
      </c>
      <c r="H31" s="132">
        <v>46009</v>
      </c>
      <c r="I31" s="113" t="s">
        <v>656</v>
      </c>
      <c r="J31" s="104" t="s">
        <v>287</v>
      </c>
      <c r="K31" s="127" t="s">
        <v>553</v>
      </c>
      <c r="L31" s="100">
        <v>15260</v>
      </c>
      <c r="M31" s="100" t="s">
        <v>455</v>
      </c>
      <c r="N31" s="100">
        <v>15260</v>
      </c>
      <c r="O31" s="100" t="s">
        <v>455</v>
      </c>
      <c r="P31" s="100">
        <v>15260</v>
      </c>
      <c r="Q31" s="100" t="s">
        <v>455</v>
      </c>
      <c r="R31" s="100">
        <v>15260</v>
      </c>
      <c r="S31" s="100" t="s">
        <v>455</v>
      </c>
      <c r="T31" s="100">
        <v>15260</v>
      </c>
      <c r="U31" s="100" t="s">
        <v>455</v>
      </c>
      <c r="V31" s="100">
        <v>15260</v>
      </c>
      <c r="W31" s="100" t="s">
        <v>455</v>
      </c>
      <c r="X31" s="100">
        <v>15260</v>
      </c>
      <c r="Y31" s="100" t="s">
        <v>455</v>
      </c>
      <c r="Z31" s="100">
        <v>15260</v>
      </c>
      <c r="AA31" s="100" t="s">
        <v>455</v>
      </c>
      <c r="AB31" s="100">
        <v>15260</v>
      </c>
      <c r="AC31" s="100" t="s">
        <v>455</v>
      </c>
      <c r="AD31" s="100">
        <v>15260</v>
      </c>
      <c r="AE31" s="100">
        <f t="shared" si="4"/>
        <v>-15260</v>
      </c>
      <c r="AF31" s="100">
        <v>0</v>
      </c>
      <c r="AG31" s="100">
        <f t="shared" si="0"/>
        <v>0</v>
      </c>
      <c r="AH31" s="141">
        <f t="shared" si="3"/>
        <v>61040</v>
      </c>
      <c r="AI31" s="100">
        <v>0</v>
      </c>
      <c r="AJ31" s="100">
        <v>0</v>
      </c>
      <c r="AK31" s="100">
        <v>0</v>
      </c>
      <c r="AL31" s="100">
        <v>45780</v>
      </c>
      <c r="AM31" s="100">
        <v>0</v>
      </c>
      <c r="AN31" s="100">
        <v>0</v>
      </c>
      <c r="AO31" s="100">
        <v>15260</v>
      </c>
      <c r="AP31" s="100"/>
      <c r="AQ31" s="100"/>
    </row>
    <row r="32" spans="1:43" ht="21" x14ac:dyDescent="0.25">
      <c r="A32" s="115" t="s">
        <v>19</v>
      </c>
      <c r="B32" s="113" t="s">
        <v>474</v>
      </c>
      <c r="C32" s="129" t="s">
        <v>522</v>
      </c>
      <c r="D32" s="112" t="s">
        <v>523</v>
      </c>
      <c r="E32" s="109" t="s">
        <v>456</v>
      </c>
      <c r="F32" s="129" t="s">
        <v>181</v>
      </c>
      <c r="G32" s="113" t="s">
        <v>182</v>
      </c>
      <c r="H32" s="132">
        <v>46009</v>
      </c>
      <c r="I32" s="113" t="s">
        <v>656</v>
      </c>
      <c r="J32" s="104" t="s">
        <v>288</v>
      </c>
      <c r="K32" s="127" t="s">
        <v>553</v>
      </c>
      <c r="L32" s="100">
        <v>12750</v>
      </c>
      <c r="M32" s="100" t="s">
        <v>455</v>
      </c>
      <c r="N32" s="100">
        <v>12750</v>
      </c>
      <c r="O32" s="100" t="s">
        <v>455</v>
      </c>
      <c r="P32" s="100">
        <v>12750</v>
      </c>
      <c r="Q32" s="100" t="s">
        <v>455</v>
      </c>
      <c r="R32" s="100">
        <v>12750</v>
      </c>
      <c r="S32" s="100" t="s">
        <v>455</v>
      </c>
      <c r="T32" s="100">
        <v>12750</v>
      </c>
      <c r="U32" s="100" t="s">
        <v>455</v>
      </c>
      <c r="V32" s="100">
        <v>12750</v>
      </c>
      <c r="W32" s="100" t="s">
        <v>455</v>
      </c>
      <c r="X32" s="100">
        <v>12750</v>
      </c>
      <c r="Y32" s="100" t="s">
        <v>455</v>
      </c>
      <c r="Z32" s="100">
        <v>12750</v>
      </c>
      <c r="AA32" s="100" t="s">
        <v>455</v>
      </c>
      <c r="AB32" s="100">
        <v>12750</v>
      </c>
      <c r="AC32" s="100" t="s">
        <v>455</v>
      </c>
      <c r="AD32" s="100">
        <v>12750</v>
      </c>
      <c r="AE32" s="100">
        <f t="shared" si="4"/>
        <v>-12750</v>
      </c>
      <c r="AF32" s="100">
        <v>0</v>
      </c>
      <c r="AG32" s="100">
        <f t="shared" si="0"/>
        <v>0</v>
      </c>
      <c r="AH32" s="141">
        <f t="shared" si="3"/>
        <v>51000</v>
      </c>
      <c r="AI32" s="100">
        <v>0</v>
      </c>
      <c r="AJ32" s="100">
        <v>0</v>
      </c>
      <c r="AK32" s="100">
        <v>0</v>
      </c>
      <c r="AL32" s="100">
        <v>38250</v>
      </c>
      <c r="AM32" s="100">
        <v>0</v>
      </c>
      <c r="AN32" s="100">
        <v>0</v>
      </c>
      <c r="AO32" s="100">
        <v>12750</v>
      </c>
      <c r="AP32" s="100"/>
      <c r="AQ32" s="100"/>
    </row>
    <row r="33" spans="1:43" ht="21" x14ac:dyDescent="0.25">
      <c r="A33" s="115" t="s">
        <v>19</v>
      </c>
      <c r="B33" s="113" t="s">
        <v>474</v>
      </c>
      <c r="C33" s="129" t="s">
        <v>522</v>
      </c>
      <c r="D33" s="112" t="s">
        <v>523</v>
      </c>
      <c r="E33" s="109" t="s">
        <v>456</v>
      </c>
      <c r="F33" s="129" t="s">
        <v>181</v>
      </c>
      <c r="G33" s="111" t="s">
        <v>184</v>
      </c>
      <c r="H33" s="132">
        <v>45658</v>
      </c>
      <c r="I33" s="132">
        <v>45658</v>
      </c>
      <c r="J33" s="106" t="s">
        <v>655</v>
      </c>
      <c r="K33" s="127" t="s">
        <v>553</v>
      </c>
      <c r="L33" s="100">
        <v>27967</v>
      </c>
      <c r="M33" s="100" t="s">
        <v>455</v>
      </c>
      <c r="N33" s="100">
        <v>27967</v>
      </c>
      <c r="O33" s="100" t="s">
        <v>455</v>
      </c>
      <c r="P33" s="100">
        <v>27967</v>
      </c>
      <c r="Q33" s="100" t="s">
        <v>455</v>
      </c>
      <c r="R33" s="100">
        <v>27967</v>
      </c>
      <c r="S33" s="100" t="s">
        <v>455</v>
      </c>
      <c r="T33" s="100">
        <v>27967</v>
      </c>
      <c r="U33" s="100" t="s">
        <v>455</v>
      </c>
      <c r="V33" s="100">
        <v>27967</v>
      </c>
      <c r="W33" s="100" t="s">
        <v>455</v>
      </c>
      <c r="X33" s="100">
        <v>27967</v>
      </c>
      <c r="Y33" s="100" t="s">
        <v>455</v>
      </c>
      <c r="Z33" s="100">
        <v>27967</v>
      </c>
      <c r="AA33" s="100" t="s">
        <v>455</v>
      </c>
      <c r="AB33" s="100">
        <v>27967</v>
      </c>
      <c r="AC33" s="100" t="s">
        <v>455</v>
      </c>
      <c r="AD33" s="100">
        <v>27967</v>
      </c>
      <c r="AE33" s="100">
        <f t="shared" si="4"/>
        <v>-27967</v>
      </c>
      <c r="AF33" s="100">
        <v>0</v>
      </c>
      <c r="AG33" s="100">
        <f t="shared" si="0"/>
        <v>0</v>
      </c>
      <c r="AH33" s="141">
        <f t="shared" si="3"/>
        <v>111868</v>
      </c>
      <c r="AI33" s="100">
        <v>0</v>
      </c>
      <c r="AJ33" s="100">
        <v>0</v>
      </c>
      <c r="AK33" s="100">
        <v>0</v>
      </c>
      <c r="AL33" s="100">
        <v>83901</v>
      </c>
      <c r="AM33" s="100">
        <v>0</v>
      </c>
      <c r="AN33" s="100">
        <v>0</v>
      </c>
      <c r="AO33" s="100">
        <v>27967</v>
      </c>
      <c r="AP33" s="100"/>
      <c r="AQ33" s="100"/>
    </row>
    <row r="34" spans="1:43" ht="21" x14ac:dyDescent="0.25">
      <c r="A34" s="115" t="s">
        <v>32</v>
      </c>
      <c r="B34" s="113" t="s">
        <v>473</v>
      </c>
      <c r="C34" s="129" t="s">
        <v>658</v>
      </c>
      <c r="D34" s="112" t="s">
        <v>659</v>
      </c>
      <c r="E34" s="109" t="s">
        <v>456</v>
      </c>
      <c r="F34" s="129" t="s">
        <v>660</v>
      </c>
      <c r="G34" s="113" t="s">
        <v>661</v>
      </c>
      <c r="H34" s="132">
        <v>45793</v>
      </c>
      <c r="I34" s="132">
        <v>45809</v>
      </c>
      <c r="J34" s="104" t="s">
        <v>662</v>
      </c>
      <c r="K34" s="127" t="s">
        <v>650</v>
      </c>
      <c r="L34" s="100">
        <v>0</v>
      </c>
      <c r="M34" s="100" t="s">
        <v>466</v>
      </c>
      <c r="N34" s="100">
        <v>0</v>
      </c>
      <c r="O34" s="100" t="s">
        <v>466</v>
      </c>
      <c r="P34" s="100">
        <v>0</v>
      </c>
      <c r="Q34" s="100" t="s">
        <v>466</v>
      </c>
      <c r="R34" s="100">
        <v>0</v>
      </c>
      <c r="S34" s="100" t="s">
        <v>466</v>
      </c>
      <c r="T34" s="100">
        <v>0</v>
      </c>
      <c r="U34" s="100" t="s">
        <v>466</v>
      </c>
      <c r="V34" s="100">
        <v>273000</v>
      </c>
      <c r="W34" s="100" t="s">
        <v>455</v>
      </c>
      <c r="X34" s="100">
        <v>12000</v>
      </c>
      <c r="Y34" s="100" t="s">
        <v>455</v>
      </c>
      <c r="Z34" s="100">
        <v>12000</v>
      </c>
      <c r="AA34" s="100" t="s">
        <v>455</v>
      </c>
      <c r="AB34" s="100">
        <v>12000</v>
      </c>
      <c r="AC34" s="100" t="s">
        <v>455</v>
      </c>
      <c r="AD34" s="100">
        <v>12000</v>
      </c>
      <c r="AE34" s="100" t="s">
        <v>455</v>
      </c>
      <c r="AF34" s="100">
        <v>0</v>
      </c>
      <c r="AG34" s="100">
        <f t="shared" si="0"/>
        <v>0</v>
      </c>
      <c r="AH34" s="141">
        <f t="shared" si="3"/>
        <v>273000</v>
      </c>
      <c r="AI34" s="100">
        <v>0</v>
      </c>
      <c r="AJ34" s="100">
        <v>0</v>
      </c>
      <c r="AK34" s="100">
        <v>0</v>
      </c>
      <c r="AL34" s="100">
        <v>0</v>
      </c>
      <c r="AM34" s="100">
        <v>0</v>
      </c>
      <c r="AN34" s="100">
        <v>273000</v>
      </c>
      <c r="AO34" s="100">
        <v>0</v>
      </c>
      <c r="AP34" s="100"/>
      <c r="AQ34" s="100"/>
    </row>
    <row r="35" spans="1:43" ht="21" x14ac:dyDescent="0.25">
      <c r="A35" s="115" t="s">
        <v>21</v>
      </c>
      <c r="B35" s="113" t="s">
        <v>473</v>
      </c>
      <c r="C35" s="129" t="s">
        <v>240</v>
      </c>
      <c r="D35" s="112" t="s">
        <v>240</v>
      </c>
      <c r="E35" s="109" t="s">
        <v>456</v>
      </c>
      <c r="F35" s="129" t="s">
        <v>35</v>
      </c>
      <c r="G35" s="113" t="s">
        <v>735</v>
      </c>
      <c r="H35" s="132">
        <v>45778</v>
      </c>
      <c r="I35" s="132">
        <v>45778</v>
      </c>
      <c r="J35" s="104" t="s">
        <v>736</v>
      </c>
      <c r="K35" s="127" t="s">
        <v>737</v>
      </c>
      <c r="L35" s="100">
        <v>0</v>
      </c>
      <c r="M35" s="100" t="s">
        <v>466</v>
      </c>
      <c r="N35" s="100">
        <v>0</v>
      </c>
      <c r="O35" s="100" t="s">
        <v>466</v>
      </c>
      <c r="P35" s="100">
        <v>0</v>
      </c>
      <c r="Q35" s="100" t="s">
        <v>466</v>
      </c>
      <c r="R35" s="100">
        <v>0</v>
      </c>
      <c r="S35" s="100" t="s">
        <v>466</v>
      </c>
      <c r="T35" s="100">
        <v>25000</v>
      </c>
      <c r="U35" s="100" t="s">
        <v>455</v>
      </c>
      <c r="V35" s="100">
        <v>25000</v>
      </c>
      <c r="W35" s="100" t="s">
        <v>455</v>
      </c>
      <c r="X35" s="100">
        <v>25000</v>
      </c>
      <c r="Y35" s="100" t="s">
        <v>455</v>
      </c>
      <c r="Z35" s="100">
        <v>25000</v>
      </c>
      <c r="AA35" s="100" t="s">
        <v>455</v>
      </c>
      <c r="AB35" s="100">
        <v>25000</v>
      </c>
      <c r="AC35" s="100" t="s">
        <v>455</v>
      </c>
      <c r="AD35" s="100">
        <v>25000</v>
      </c>
      <c r="AE35" s="100" t="s">
        <v>455</v>
      </c>
      <c r="AF35" s="100">
        <v>0</v>
      </c>
      <c r="AG35" s="100">
        <f t="shared" si="0"/>
        <v>0</v>
      </c>
      <c r="AH35" s="141">
        <f t="shared" si="3"/>
        <v>50000</v>
      </c>
      <c r="AI35" s="100">
        <v>0</v>
      </c>
      <c r="AJ35" s="100">
        <v>0</v>
      </c>
      <c r="AK35" s="100">
        <v>0</v>
      </c>
      <c r="AL35" s="100">
        <v>0</v>
      </c>
      <c r="AM35" s="100">
        <v>0</v>
      </c>
      <c r="AN35" s="100">
        <v>0</v>
      </c>
      <c r="AO35" s="100">
        <v>50000</v>
      </c>
      <c r="AP35" s="100"/>
      <c r="AQ35" s="100"/>
    </row>
    <row r="36" spans="1:43" ht="21" x14ac:dyDescent="0.25">
      <c r="A36" s="115" t="s">
        <v>32</v>
      </c>
      <c r="B36" s="113" t="s">
        <v>473</v>
      </c>
      <c r="C36" s="129" t="s">
        <v>739</v>
      </c>
      <c r="D36" s="112" t="s">
        <v>739</v>
      </c>
      <c r="E36" s="109" t="s">
        <v>456</v>
      </c>
      <c r="F36" s="129" t="s">
        <v>740</v>
      </c>
      <c r="G36" s="113" t="s">
        <v>744</v>
      </c>
      <c r="H36" s="132">
        <v>45817</v>
      </c>
      <c r="I36" s="132">
        <v>45839</v>
      </c>
      <c r="J36" s="104" t="s">
        <v>745</v>
      </c>
      <c r="K36" s="127" t="s">
        <v>743</v>
      </c>
      <c r="L36" s="100">
        <v>0</v>
      </c>
      <c r="M36" s="100" t="s">
        <v>466</v>
      </c>
      <c r="N36" s="100">
        <v>0</v>
      </c>
      <c r="O36" s="100" t="s">
        <v>466</v>
      </c>
      <c r="P36" s="100">
        <v>0</v>
      </c>
      <c r="Q36" s="100" t="s">
        <v>466</v>
      </c>
      <c r="R36" s="100">
        <v>0</v>
      </c>
      <c r="S36" s="100" t="s">
        <v>466</v>
      </c>
      <c r="T36" s="100">
        <v>0</v>
      </c>
      <c r="U36" s="100" t="s">
        <v>466</v>
      </c>
      <c r="V36" s="100">
        <v>0</v>
      </c>
      <c r="W36" s="100" t="s">
        <v>466</v>
      </c>
      <c r="X36" s="100">
        <v>82200</v>
      </c>
      <c r="Y36" s="100" t="s">
        <v>455</v>
      </c>
      <c r="Z36" s="100">
        <v>36000</v>
      </c>
      <c r="AA36" s="100" t="s">
        <v>455</v>
      </c>
      <c r="AB36" s="100">
        <v>36000</v>
      </c>
      <c r="AC36" s="100" t="s">
        <v>455</v>
      </c>
      <c r="AD36" s="100">
        <v>0</v>
      </c>
      <c r="AE36" s="100" t="s">
        <v>466</v>
      </c>
      <c r="AF36" s="100">
        <v>0</v>
      </c>
      <c r="AG36" s="100">
        <f t="shared" si="0"/>
        <v>0</v>
      </c>
      <c r="AH36" s="141">
        <f t="shared" si="3"/>
        <v>0</v>
      </c>
      <c r="AI36" s="100">
        <v>0</v>
      </c>
      <c r="AJ36" s="100">
        <v>0</v>
      </c>
      <c r="AK36" s="100">
        <v>0</v>
      </c>
      <c r="AL36" s="100">
        <v>0</v>
      </c>
      <c r="AM36" s="100">
        <v>0</v>
      </c>
      <c r="AN36" s="100">
        <v>0</v>
      </c>
      <c r="AO36" s="100">
        <v>0</v>
      </c>
      <c r="AP36" s="100"/>
      <c r="AQ36" s="100"/>
    </row>
    <row r="37" spans="1:43" ht="21" x14ac:dyDescent="0.25">
      <c r="A37" s="115" t="s">
        <v>32</v>
      </c>
      <c r="B37" s="113" t="s">
        <v>473</v>
      </c>
      <c r="C37" s="129" t="s">
        <v>739</v>
      </c>
      <c r="D37" s="112" t="s">
        <v>739</v>
      </c>
      <c r="E37" s="109" t="s">
        <v>456</v>
      </c>
      <c r="F37" s="129" t="s">
        <v>740</v>
      </c>
      <c r="G37" s="113" t="s">
        <v>744</v>
      </c>
      <c r="H37" s="132">
        <v>45817</v>
      </c>
      <c r="I37" s="132">
        <v>45839</v>
      </c>
      <c r="J37" s="104" t="s">
        <v>746</v>
      </c>
      <c r="K37" s="127" t="s">
        <v>743</v>
      </c>
      <c r="L37" s="100">
        <v>0</v>
      </c>
      <c r="M37" s="100" t="s">
        <v>466</v>
      </c>
      <c r="N37" s="100">
        <v>0</v>
      </c>
      <c r="O37" s="100" t="s">
        <v>466</v>
      </c>
      <c r="P37" s="100">
        <v>0</v>
      </c>
      <c r="Q37" s="100" t="s">
        <v>466</v>
      </c>
      <c r="R37" s="100">
        <v>0</v>
      </c>
      <c r="S37" s="100" t="s">
        <v>466</v>
      </c>
      <c r="T37" s="100">
        <v>0</v>
      </c>
      <c r="U37" s="100" t="s">
        <v>466</v>
      </c>
      <c r="V37" s="100">
        <v>0</v>
      </c>
      <c r="W37" s="100" t="s">
        <v>466</v>
      </c>
      <c r="X37" s="100">
        <v>12000</v>
      </c>
      <c r="Y37" s="100" t="s">
        <v>455</v>
      </c>
      <c r="Z37" s="100">
        <v>6000</v>
      </c>
      <c r="AA37" s="100" t="s">
        <v>455</v>
      </c>
      <c r="AB37" s="100">
        <v>6000</v>
      </c>
      <c r="AC37" s="100" t="s">
        <v>455</v>
      </c>
      <c r="AD37" s="100">
        <v>0</v>
      </c>
      <c r="AE37" s="100" t="s">
        <v>466</v>
      </c>
      <c r="AF37" s="100">
        <v>0</v>
      </c>
      <c r="AG37" s="100">
        <f t="shared" si="0"/>
        <v>0</v>
      </c>
      <c r="AH37" s="141">
        <f t="shared" si="3"/>
        <v>0</v>
      </c>
      <c r="AI37" s="100">
        <v>0</v>
      </c>
      <c r="AJ37" s="100">
        <v>0</v>
      </c>
      <c r="AK37" s="100">
        <v>0</v>
      </c>
      <c r="AL37" s="100">
        <v>0</v>
      </c>
      <c r="AM37" s="100">
        <v>0</v>
      </c>
      <c r="AN37" s="100">
        <v>0</v>
      </c>
      <c r="AO37" s="100">
        <v>0</v>
      </c>
      <c r="AP37" s="100"/>
      <c r="AQ37" s="100"/>
    </row>
    <row r="38" spans="1:43" ht="54" customHeight="1" x14ac:dyDescent="0.25">
      <c r="A38" s="115" t="s">
        <v>19</v>
      </c>
      <c r="B38" s="113" t="s">
        <v>473</v>
      </c>
      <c r="C38" s="129" t="s">
        <v>593</v>
      </c>
      <c r="D38" s="112" t="s">
        <v>501</v>
      </c>
      <c r="E38" s="113" t="s">
        <v>545</v>
      </c>
      <c r="F38" s="129" t="s">
        <v>35</v>
      </c>
      <c r="G38" s="113" t="s">
        <v>796</v>
      </c>
      <c r="H38" s="132">
        <v>45809</v>
      </c>
      <c r="I38" s="132">
        <v>45809</v>
      </c>
      <c r="J38" s="104" t="s">
        <v>1111</v>
      </c>
      <c r="K38" s="116" t="s">
        <v>502</v>
      </c>
      <c r="L38" s="100">
        <v>0</v>
      </c>
      <c r="M38" s="100" t="s">
        <v>466</v>
      </c>
      <c r="N38" s="100">
        <v>0</v>
      </c>
      <c r="O38" s="100" t="s">
        <v>466</v>
      </c>
      <c r="P38" s="100">
        <v>0</v>
      </c>
      <c r="Q38" s="100" t="s">
        <v>466</v>
      </c>
      <c r="R38" s="100">
        <v>0</v>
      </c>
      <c r="S38" s="100" t="s">
        <v>466</v>
      </c>
      <c r="T38" s="100">
        <v>0</v>
      </c>
      <c r="U38" s="100" t="s">
        <v>466</v>
      </c>
      <c r="V38" s="100">
        <v>120000</v>
      </c>
      <c r="W38" s="100" t="s">
        <v>455</v>
      </c>
      <c r="X38" s="100">
        <v>120000</v>
      </c>
      <c r="Y38" s="100" t="s">
        <v>455</v>
      </c>
      <c r="Z38" s="100">
        <v>120000</v>
      </c>
      <c r="AA38" s="100" t="s">
        <v>455</v>
      </c>
      <c r="AB38" s="100">
        <v>120000</v>
      </c>
      <c r="AC38" s="100" t="s">
        <v>455</v>
      </c>
      <c r="AD38" s="100">
        <v>120000</v>
      </c>
      <c r="AE38" s="100" t="s">
        <v>455</v>
      </c>
      <c r="AF38" s="100">
        <v>0</v>
      </c>
      <c r="AG38" s="100">
        <f t="shared" si="0"/>
        <v>0</v>
      </c>
      <c r="AH38" s="141">
        <f t="shared" si="3"/>
        <v>240000</v>
      </c>
      <c r="AI38" s="100">
        <v>0</v>
      </c>
      <c r="AJ38" s="100">
        <v>0</v>
      </c>
      <c r="AK38" s="100">
        <v>0</v>
      </c>
      <c r="AL38" s="100">
        <v>0</v>
      </c>
      <c r="AM38" s="100">
        <v>0</v>
      </c>
      <c r="AN38" s="100">
        <v>0</v>
      </c>
      <c r="AO38" s="100">
        <v>240000</v>
      </c>
      <c r="AP38" s="100"/>
      <c r="AQ38" s="100"/>
    </row>
    <row r="39" spans="1:43" ht="61.5" customHeight="1" x14ac:dyDescent="0.25">
      <c r="A39" s="115" t="s">
        <v>19</v>
      </c>
      <c r="B39" s="113" t="s">
        <v>473</v>
      </c>
      <c r="C39" s="129" t="s">
        <v>593</v>
      </c>
      <c r="D39" s="112" t="s">
        <v>501</v>
      </c>
      <c r="E39" s="113" t="s">
        <v>545</v>
      </c>
      <c r="F39" s="129" t="s">
        <v>35</v>
      </c>
      <c r="G39" s="113" t="s">
        <v>796</v>
      </c>
      <c r="H39" s="132">
        <v>45809</v>
      </c>
      <c r="I39" s="132">
        <v>45809</v>
      </c>
      <c r="J39" s="104" t="s">
        <v>1102</v>
      </c>
      <c r="K39" s="116" t="s">
        <v>502</v>
      </c>
      <c r="L39" s="100">
        <v>0</v>
      </c>
      <c r="M39" s="100" t="s">
        <v>466</v>
      </c>
      <c r="N39" s="100">
        <v>0</v>
      </c>
      <c r="O39" s="100" t="s">
        <v>466</v>
      </c>
      <c r="P39" s="100">
        <v>0</v>
      </c>
      <c r="Q39" s="100" t="s">
        <v>466</v>
      </c>
      <c r="R39" s="100">
        <v>0</v>
      </c>
      <c r="S39" s="100" t="s">
        <v>466</v>
      </c>
      <c r="T39" s="100">
        <v>0</v>
      </c>
      <c r="U39" s="100" t="s">
        <v>466</v>
      </c>
      <c r="V39" s="100">
        <v>130000</v>
      </c>
      <c r="W39" s="100" t="s">
        <v>455</v>
      </c>
      <c r="X39" s="100">
        <v>130000</v>
      </c>
      <c r="Y39" s="100" t="s">
        <v>455</v>
      </c>
      <c r="Z39" s="100">
        <v>130000</v>
      </c>
      <c r="AA39" s="100" t="s">
        <v>455</v>
      </c>
      <c r="AB39" s="100">
        <v>130000</v>
      </c>
      <c r="AC39" s="100" t="s">
        <v>455</v>
      </c>
      <c r="AD39" s="100">
        <v>0</v>
      </c>
      <c r="AE39" s="100" t="s">
        <v>466</v>
      </c>
      <c r="AF39" s="100">
        <v>0</v>
      </c>
      <c r="AG39" s="100">
        <f t="shared" si="0"/>
        <v>0</v>
      </c>
      <c r="AH39" s="141">
        <f t="shared" si="3"/>
        <v>260000</v>
      </c>
      <c r="AI39" s="100">
        <v>0</v>
      </c>
      <c r="AJ39" s="100">
        <v>0</v>
      </c>
      <c r="AK39" s="100">
        <v>0</v>
      </c>
      <c r="AL39" s="100">
        <v>0</v>
      </c>
      <c r="AM39" s="100">
        <v>0</v>
      </c>
      <c r="AN39" s="100">
        <v>0</v>
      </c>
      <c r="AO39" s="100">
        <v>260000</v>
      </c>
      <c r="AP39" s="100"/>
      <c r="AQ39" s="100"/>
    </row>
    <row r="40" spans="1:43" ht="69" customHeight="1" x14ac:dyDescent="0.25">
      <c r="A40" s="115" t="s">
        <v>19</v>
      </c>
      <c r="B40" s="113" t="s">
        <v>473</v>
      </c>
      <c r="C40" s="129" t="s">
        <v>593</v>
      </c>
      <c r="D40" s="112" t="s">
        <v>501</v>
      </c>
      <c r="E40" s="113" t="s">
        <v>545</v>
      </c>
      <c r="F40" s="129" t="s">
        <v>35</v>
      </c>
      <c r="G40" s="113" t="s">
        <v>796</v>
      </c>
      <c r="H40" s="132">
        <v>45809</v>
      </c>
      <c r="I40" s="132">
        <v>45809</v>
      </c>
      <c r="J40" s="104" t="s">
        <v>1103</v>
      </c>
      <c r="K40" s="116" t="s">
        <v>502</v>
      </c>
      <c r="L40" s="100">
        <v>0</v>
      </c>
      <c r="M40" s="100" t="s">
        <v>466</v>
      </c>
      <c r="N40" s="100">
        <v>0</v>
      </c>
      <c r="O40" s="100" t="s">
        <v>466</v>
      </c>
      <c r="P40" s="100">
        <v>0</v>
      </c>
      <c r="Q40" s="100" t="s">
        <v>466</v>
      </c>
      <c r="R40" s="100">
        <v>0</v>
      </c>
      <c r="S40" s="100" t="s">
        <v>466</v>
      </c>
      <c r="T40" s="100">
        <v>0</v>
      </c>
      <c r="U40" s="100" t="s">
        <v>466</v>
      </c>
      <c r="V40" s="100">
        <v>110000</v>
      </c>
      <c r="W40" s="100" t="s">
        <v>455</v>
      </c>
      <c r="X40" s="100">
        <v>110000</v>
      </c>
      <c r="Y40" s="100" t="s">
        <v>455</v>
      </c>
      <c r="Z40" s="100">
        <v>110000</v>
      </c>
      <c r="AA40" s="100" t="s">
        <v>455</v>
      </c>
      <c r="AB40" s="100">
        <v>110000</v>
      </c>
      <c r="AC40" s="100" t="s">
        <v>455</v>
      </c>
      <c r="AD40" s="100">
        <v>0</v>
      </c>
      <c r="AE40" s="100" t="s">
        <v>466</v>
      </c>
      <c r="AF40" s="100">
        <v>0</v>
      </c>
      <c r="AG40" s="100">
        <f t="shared" si="0"/>
        <v>0</v>
      </c>
      <c r="AH40" s="141">
        <f t="shared" si="3"/>
        <v>220000</v>
      </c>
      <c r="AI40" s="100">
        <v>0</v>
      </c>
      <c r="AJ40" s="100">
        <v>0</v>
      </c>
      <c r="AK40" s="100">
        <v>0</v>
      </c>
      <c r="AL40" s="100">
        <v>0</v>
      </c>
      <c r="AM40" s="100">
        <v>0</v>
      </c>
      <c r="AN40" s="100">
        <v>0</v>
      </c>
      <c r="AO40" s="100">
        <v>220000</v>
      </c>
      <c r="AP40" s="100"/>
      <c r="AQ40" s="100"/>
    </row>
    <row r="41" spans="1:43" ht="67.5" customHeight="1" x14ac:dyDescent="0.25">
      <c r="A41" s="115" t="s">
        <v>19</v>
      </c>
      <c r="B41" s="113" t="s">
        <v>473</v>
      </c>
      <c r="C41" s="129" t="s">
        <v>593</v>
      </c>
      <c r="D41" s="112" t="s">
        <v>501</v>
      </c>
      <c r="E41" s="113" t="s">
        <v>545</v>
      </c>
      <c r="F41" s="129" t="s">
        <v>35</v>
      </c>
      <c r="G41" s="113" t="s">
        <v>796</v>
      </c>
      <c r="H41" s="132">
        <v>45809</v>
      </c>
      <c r="I41" s="132">
        <v>45809</v>
      </c>
      <c r="J41" s="104" t="s">
        <v>1104</v>
      </c>
      <c r="K41" s="116" t="s">
        <v>502</v>
      </c>
      <c r="L41" s="100">
        <v>0</v>
      </c>
      <c r="M41" s="100" t="s">
        <v>466</v>
      </c>
      <c r="N41" s="100">
        <v>0</v>
      </c>
      <c r="O41" s="100" t="s">
        <v>466</v>
      </c>
      <c r="P41" s="100">
        <v>0</v>
      </c>
      <c r="Q41" s="100" t="s">
        <v>466</v>
      </c>
      <c r="R41" s="100">
        <v>0</v>
      </c>
      <c r="S41" s="100" t="s">
        <v>466</v>
      </c>
      <c r="T41" s="100">
        <v>0</v>
      </c>
      <c r="U41" s="100" t="s">
        <v>466</v>
      </c>
      <c r="V41" s="100">
        <v>200000</v>
      </c>
      <c r="W41" s="100" t="s">
        <v>455</v>
      </c>
      <c r="X41" s="100">
        <v>200000</v>
      </c>
      <c r="Y41" s="100" t="s">
        <v>455</v>
      </c>
      <c r="Z41" s="100">
        <v>200000</v>
      </c>
      <c r="AA41" s="100" t="s">
        <v>455</v>
      </c>
      <c r="AB41" s="100">
        <v>200000</v>
      </c>
      <c r="AC41" s="100" t="s">
        <v>455</v>
      </c>
      <c r="AD41" s="100">
        <v>0</v>
      </c>
      <c r="AE41" s="100" t="s">
        <v>466</v>
      </c>
      <c r="AF41" s="100">
        <v>0</v>
      </c>
      <c r="AG41" s="100">
        <f t="shared" si="0"/>
        <v>0</v>
      </c>
      <c r="AH41" s="141">
        <f t="shared" si="3"/>
        <v>400000</v>
      </c>
      <c r="AI41" s="100">
        <v>0</v>
      </c>
      <c r="AJ41" s="100">
        <v>0</v>
      </c>
      <c r="AK41" s="100">
        <v>0</v>
      </c>
      <c r="AL41" s="100">
        <v>0</v>
      </c>
      <c r="AM41" s="100">
        <v>0</v>
      </c>
      <c r="AN41" s="100">
        <v>0</v>
      </c>
      <c r="AO41" s="100">
        <v>400000</v>
      </c>
      <c r="AP41" s="100"/>
      <c r="AQ41" s="100"/>
    </row>
    <row r="42" spans="1:43" ht="69" customHeight="1" x14ac:dyDescent="0.25">
      <c r="A42" s="115" t="s">
        <v>19</v>
      </c>
      <c r="B42" s="113" t="s">
        <v>473</v>
      </c>
      <c r="C42" s="129" t="s">
        <v>593</v>
      </c>
      <c r="D42" s="112" t="s">
        <v>501</v>
      </c>
      <c r="E42" s="113" t="s">
        <v>545</v>
      </c>
      <c r="F42" s="129" t="s">
        <v>35</v>
      </c>
      <c r="G42" s="113" t="s">
        <v>796</v>
      </c>
      <c r="H42" s="132">
        <v>45809</v>
      </c>
      <c r="I42" s="132">
        <v>45809</v>
      </c>
      <c r="J42" s="104" t="s">
        <v>1112</v>
      </c>
      <c r="K42" s="116" t="s">
        <v>502</v>
      </c>
      <c r="L42" s="100">
        <v>0</v>
      </c>
      <c r="M42" s="100" t="s">
        <v>466</v>
      </c>
      <c r="N42" s="100">
        <v>0</v>
      </c>
      <c r="O42" s="100" t="s">
        <v>466</v>
      </c>
      <c r="P42" s="100">
        <v>0</v>
      </c>
      <c r="Q42" s="100" t="s">
        <v>466</v>
      </c>
      <c r="R42" s="100">
        <v>0</v>
      </c>
      <c r="S42" s="100" t="s">
        <v>466</v>
      </c>
      <c r="T42" s="100">
        <v>0</v>
      </c>
      <c r="U42" s="100" t="s">
        <v>466</v>
      </c>
      <c r="V42" s="100">
        <v>120000</v>
      </c>
      <c r="W42" s="100" t="s">
        <v>455</v>
      </c>
      <c r="X42" s="100">
        <v>120000</v>
      </c>
      <c r="Y42" s="100" t="s">
        <v>455</v>
      </c>
      <c r="Z42" s="100">
        <v>120000</v>
      </c>
      <c r="AA42" s="100" t="s">
        <v>455</v>
      </c>
      <c r="AB42" s="100">
        <v>120000</v>
      </c>
      <c r="AC42" s="100" t="s">
        <v>455</v>
      </c>
      <c r="AD42" s="100">
        <v>120000</v>
      </c>
      <c r="AE42" s="100" t="s">
        <v>455</v>
      </c>
      <c r="AF42" s="100">
        <v>0</v>
      </c>
      <c r="AG42" s="100">
        <f t="shared" si="0"/>
        <v>0</v>
      </c>
      <c r="AH42" s="141">
        <f t="shared" si="3"/>
        <v>240000</v>
      </c>
      <c r="AI42" s="100">
        <v>0</v>
      </c>
      <c r="AJ42" s="100">
        <v>0</v>
      </c>
      <c r="AK42" s="100">
        <v>0</v>
      </c>
      <c r="AL42" s="100">
        <v>0</v>
      </c>
      <c r="AM42" s="100">
        <v>0</v>
      </c>
      <c r="AN42" s="100">
        <v>0</v>
      </c>
      <c r="AO42" s="100">
        <v>240000</v>
      </c>
      <c r="AP42" s="100"/>
      <c r="AQ42" s="100"/>
    </row>
    <row r="43" spans="1:43" ht="54" customHeight="1" x14ac:dyDescent="0.25">
      <c r="A43" s="115" t="s">
        <v>19</v>
      </c>
      <c r="B43" s="113" t="s">
        <v>473</v>
      </c>
      <c r="C43" s="129" t="s">
        <v>593</v>
      </c>
      <c r="D43" s="112" t="s">
        <v>501</v>
      </c>
      <c r="E43" s="113" t="s">
        <v>545</v>
      </c>
      <c r="F43" s="129" t="s">
        <v>35</v>
      </c>
      <c r="G43" s="113" t="s">
        <v>796</v>
      </c>
      <c r="H43" s="132">
        <v>45809</v>
      </c>
      <c r="I43" s="132">
        <v>45809</v>
      </c>
      <c r="J43" s="104" t="s">
        <v>1105</v>
      </c>
      <c r="K43" s="116" t="s">
        <v>502</v>
      </c>
      <c r="L43" s="100">
        <v>0</v>
      </c>
      <c r="M43" s="100" t="s">
        <v>466</v>
      </c>
      <c r="N43" s="100">
        <v>0</v>
      </c>
      <c r="O43" s="100" t="s">
        <v>466</v>
      </c>
      <c r="P43" s="100">
        <v>0</v>
      </c>
      <c r="Q43" s="100" t="s">
        <v>466</v>
      </c>
      <c r="R43" s="100">
        <v>0</v>
      </c>
      <c r="S43" s="100" t="s">
        <v>466</v>
      </c>
      <c r="T43" s="100">
        <v>0</v>
      </c>
      <c r="U43" s="100" t="s">
        <v>466</v>
      </c>
      <c r="V43" s="100">
        <v>300000</v>
      </c>
      <c r="W43" s="100" t="s">
        <v>455</v>
      </c>
      <c r="X43" s="100">
        <v>300000</v>
      </c>
      <c r="Y43" s="100" t="s">
        <v>455</v>
      </c>
      <c r="Z43" s="100">
        <v>300000</v>
      </c>
      <c r="AA43" s="100" t="s">
        <v>455</v>
      </c>
      <c r="AB43" s="100">
        <v>300000</v>
      </c>
      <c r="AC43" s="100" t="s">
        <v>455</v>
      </c>
      <c r="AD43" s="100">
        <v>0</v>
      </c>
      <c r="AE43" s="100" t="s">
        <v>466</v>
      </c>
      <c r="AF43" s="100">
        <v>0</v>
      </c>
      <c r="AG43" s="100">
        <f t="shared" si="0"/>
        <v>0</v>
      </c>
      <c r="AH43" s="141">
        <f t="shared" si="3"/>
        <v>600000</v>
      </c>
      <c r="AI43" s="100">
        <v>0</v>
      </c>
      <c r="AJ43" s="100">
        <v>0</v>
      </c>
      <c r="AK43" s="100">
        <v>0</v>
      </c>
      <c r="AL43" s="100">
        <v>0</v>
      </c>
      <c r="AM43" s="100">
        <v>0</v>
      </c>
      <c r="AN43" s="100">
        <v>0</v>
      </c>
      <c r="AO43" s="100">
        <v>600000</v>
      </c>
      <c r="AP43" s="100"/>
      <c r="AQ43" s="100"/>
    </row>
    <row r="44" spans="1:43" ht="54" customHeight="1" x14ac:dyDescent="0.25">
      <c r="A44" s="115" t="s">
        <v>19</v>
      </c>
      <c r="B44" s="113" t="s">
        <v>473</v>
      </c>
      <c r="C44" s="129" t="s">
        <v>593</v>
      </c>
      <c r="D44" s="112" t="s">
        <v>501</v>
      </c>
      <c r="E44" s="113" t="s">
        <v>545</v>
      </c>
      <c r="F44" s="129" t="s">
        <v>35</v>
      </c>
      <c r="G44" s="113" t="s">
        <v>796</v>
      </c>
      <c r="H44" s="132">
        <v>45809</v>
      </c>
      <c r="I44" s="132">
        <v>45870</v>
      </c>
      <c r="J44" s="104" t="s">
        <v>1106</v>
      </c>
      <c r="K44" s="116" t="s">
        <v>502</v>
      </c>
      <c r="L44" s="100">
        <v>0</v>
      </c>
      <c r="M44" s="100" t="s">
        <v>466</v>
      </c>
      <c r="N44" s="100">
        <v>0</v>
      </c>
      <c r="O44" s="100" t="s">
        <v>466</v>
      </c>
      <c r="P44" s="100">
        <v>0</v>
      </c>
      <c r="Q44" s="100" t="s">
        <v>466</v>
      </c>
      <c r="R44" s="100">
        <v>0</v>
      </c>
      <c r="S44" s="100" t="s">
        <v>466</v>
      </c>
      <c r="T44" s="100">
        <v>0</v>
      </c>
      <c r="U44" s="100" t="s">
        <v>466</v>
      </c>
      <c r="V44" s="100">
        <v>0</v>
      </c>
      <c r="W44" s="100" t="s">
        <v>466</v>
      </c>
      <c r="X44" s="100">
        <v>0</v>
      </c>
      <c r="Y44" s="100" t="s">
        <v>466</v>
      </c>
      <c r="Z44" s="100">
        <v>250000</v>
      </c>
      <c r="AA44" s="100" t="s">
        <v>455</v>
      </c>
      <c r="AB44" s="100">
        <v>150000</v>
      </c>
      <c r="AC44" s="100" t="s">
        <v>455</v>
      </c>
      <c r="AD44" s="100">
        <v>150000</v>
      </c>
      <c r="AE44" s="100" t="s">
        <v>455</v>
      </c>
      <c r="AF44" s="100">
        <v>0</v>
      </c>
      <c r="AG44" s="100">
        <f t="shared" si="0"/>
        <v>0</v>
      </c>
      <c r="AH44" s="141"/>
      <c r="AI44" s="100"/>
      <c r="AJ44" s="100"/>
      <c r="AK44" s="100"/>
      <c r="AL44" s="100"/>
      <c r="AM44" s="100"/>
      <c r="AN44" s="100"/>
      <c r="AO44" s="100"/>
      <c r="AP44" s="100"/>
      <c r="AQ44" s="100"/>
    </row>
    <row r="45" spans="1:43" ht="54" customHeight="1" x14ac:dyDescent="0.25">
      <c r="A45" s="115" t="s">
        <v>19</v>
      </c>
      <c r="B45" s="113" t="s">
        <v>473</v>
      </c>
      <c r="C45" s="129" t="s">
        <v>593</v>
      </c>
      <c r="D45" s="112" t="s">
        <v>501</v>
      </c>
      <c r="E45" s="113" t="s">
        <v>545</v>
      </c>
      <c r="F45" s="129" t="s">
        <v>35</v>
      </c>
      <c r="G45" s="113" t="s">
        <v>796</v>
      </c>
      <c r="H45" s="132">
        <v>45809</v>
      </c>
      <c r="I45" s="132">
        <v>45931</v>
      </c>
      <c r="J45" s="104" t="s">
        <v>1107</v>
      </c>
      <c r="K45" s="116" t="s">
        <v>502</v>
      </c>
      <c r="L45" s="100">
        <v>0</v>
      </c>
      <c r="M45" s="100" t="s">
        <v>466</v>
      </c>
      <c r="N45" s="100">
        <v>0</v>
      </c>
      <c r="O45" s="100" t="s">
        <v>466</v>
      </c>
      <c r="P45" s="100">
        <v>0</v>
      </c>
      <c r="Q45" s="100" t="s">
        <v>466</v>
      </c>
      <c r="R45" s="100">
        <v>0</v>
      </c>
      <c r="S45" s="100" t="s">
        <v>466</v>
      </c>
      <c r="T45" s="100">
        <v>0</v>
      </c>
      <c r="U45" s="100" t="s">
        <v>466</v>
      </c>
      <c r="V45" s="100">
        <v>0</v>
      </c>
      <c r="W45" s="100" t="s">
        <v>466</v>
      </c>
      <c r="X45" s="100">
        <v>0</v>
      </c>
      <c r="Y45" s="100" t="s">
        <v>466</v>
      </c>
      <c r="Z45" s="100">
        <v>0</v>
      </c>
      <c r="AA45" s="100" t="s">
        <v>466</v>
      </c>
      <c r="AB45" s="100">
        <v>0</v>
      </c>
      <c r="AC45" s="100" t="s">
        <v>466</v>
      </c>
      <c r="AD45" s="100">
        <v>315000</v>
      </c>
      <c r="AE45" s="100" t="s">
        <v>455</v>
      </c>
      <c r="AF45" s="100">
        <v>0</v>
      </c>
      <c r="AG45" s="100">
        <f t="shared" si="0"/>
        <v>0</v>
      </c>
      <c r="AH45" s="141"/>
      <c r="AI45" s="100"/>
      <c r="AJ45" s="100"/>
      <c r="AK45" s="100"/>
      <c r="AL45" s="100"/>
      <c r="AM45" s="100"/>
      <c r="AN45" s="100"/>
      <c r="AO45" s="100"/>
      <c r="AP45" s="100"/>
      <c r="AQ45" s="100"/>
    </row>
    <row r="46" spans="1:43" ht="54" customHeight="1" x14ac:dyDescent="0.25">
      <c r="A46" s="115" t="s">
        <v>19</v>
      </c>
      <c r="B46" s="113" t="s">
        <v>473</v>
      </c>
      <c r="C46" s="129" t="s">
        <v>593</v>
      </c>
      <c r="D46" s="112" t="s">
        <v>501</v>
      </c>
      <c r="E46" s="113" t="s">
        <v>545</v>
      </c>
      <c r="F46" s="129" t="s">
        <v>35</v>
      </c>
      <c r="G46" s="113" t="s">
        <v>796</v>
      </c>
      <c r="H46" s="132">
        <v>45809</v>
      </c>
      <c r="I46" s="132">
        <v>45931</v>
      </c>
      <c r="J46" s="104" t="s">
        <v>1108</v>
      </c>
      <c r="K46" s="116" t="s">
        <v>502</v>
      </c>
      <c r="L46" s="100">
        <v>0</v>
      </c>
      <c r="M46" s="100" t="s">
        <v>466</v>
      </c>
      <c r="N46" s="100">
        <v>0</v>
      </c>
      <c r="O46" s="100" t="s">
        <v>466</v>
      </c>
      <c r="P46" s="100">
        <v>0</v>
      </c>
      <c r="Q46" s="100" t="s">
        <v>466</v>
      </c>
      <c r="R46" s="100">
        <v>0</v>
      </c>
      <c r="S46" s="100" t="s">
        <v>466</v>
      </c>
      <c r="T46" s="100">
        <v>0</v>
      </c>
      <c r="U46" s="100" t="s">
        <v>466</v>
      </c>
      <c r="V46" s="100">
        <v>0</v>
      </c>
      <c r="W46" s="100" t="s">
        <v>466</v>
      </c>
      <c r="X46" s="100">
        <v>0</v>
      </c>
      <c r="Y46" s="100" t="s">
        <v>466</v>
      </c>
      <c r="Z46" s="100">
        <v>0</v>
      </c>
      <c r="AA46" s="100" t="s">
        <v>466</v>
      </c>
      <c r="AB46" s="100">
        <v>0</v>
      </c>
      <c r="AC46" s="100" t="s">
        <v>466</v>
      </c>
      <c r="AD46" s="100">
        <v>270250</v>
      </c>
      <c r="AE46" s="100" t="s">
        <v>455</v>
      </c>
      <c r="AF46" s="100">
        <v>0</v>
      </c>
      <c r="AG46" s="100">
        <f t="shared" si="0"/>
        <v>0</v>
      </c>
      <c r="AH46" s="141"/>
      <c r="AI46" s="100"/>
      <c r="AJ46" s="100"/>
      <c r="AK46" s="100"/>
      <c r="AL46" s="100"/>
      <c r="AM46" s="100"/>
      <c r="AN46" s="100"/>
      <c r="AO46" s="100"/>
      <c r="AP46" s="100"/>
      <c r="AQ46" s="100"/>
    </row>
    <row r="47" spans="1:43" ht="54" customHeight="1" x14ac:dyDescent="0.25">
      <c r="A47" s="115" t="s">
        <v>19</v>
      </c>
      <c r="B47" s="113" t="s">
        <v>473</v>
      </c>
      <c r="C47" s="129" t="s">
        <v>593</v>
      </c>
      <c r="D47" s="112" t="s">
        <v>501</v>
      </c>
      <c r="E47" s="113" t="s">
        <v>545</v>
      </c>
      <c r="F47" s="129" t="s">
        <v>35</v>
      </c>
      <c r="G47" s="113" t="s">
        <v>796</v>
      </c>
      <c r="H47" s="132">
        <v>45809</v>
      </c>
      <c r="I47" s="132">
        <v>45931</v>
      </c>
      <c r="J47" s="104" t="s">
        <v>1109</v>
      </c>
      <c r="K47" s="116" t="s">
        <v>502</v>
      </c>
      <c r="L47" s="100">
        <v>0</v>
      </c>
      <c r="M47" s="100" t="s">
        <v>466</v>
      </c>
      <c r="N47" s="100">
        <v>0</v>
      </c>
      <c r="O47" s="100" t="s">
        <v>466</v>
      </c>
      <c r="P47" s="100">
        <v>0</v>
      </c>
      <c r="Q47" s="100" t="s">
        <v>466</v>
      </c>
      <c r="R47" s="100">
        <v>0</v>
      </c>
      <c r="S47" s="100" t="s">
        <v>466</v>
      </c>
      <c r="T47" s="100">
        <v>0</v>
      </c>
      <c r="U47" s="100" t="s">
        <v>466</v>
      </c>
      <c r="V47" s="100">
        <v>0</v>
      </c>
      <c r="W47" s="100" t="s">
        <v>466</v>
      </c>
      <c r="X47" s="100">
        <v>0</v>
      </c>
      <c r="Y47" s="100" t="s">
        <v>466</v>
      </c>
      <c r="Z47" s="100">
        <v>0</v>
      </c>
      <c r="AA47" s="100" t="s">
        <v>466</v>
      </c>
      <c r="AB47" s="100">
        <v>0</v>
      </c>
      <c r="AC47" s="100" t="s">
        <v>466</v>
      </c>
      <c r="AD47" s="100">
        <v>330000</v>
      </c>
      <c r="AE47" s="100" t="s">
        <v>455</v>
      </c>
      <c r="AF47" s="100">
        <v>0</v>
      </c>
      <c r="AG47" s="100">
        <f t="shared" si="0"/>
        <v>0</v>
      </c>
      <c r="AH47" s="141"/>
      <c r="AI47" s="100"/>
      <c r="AJ47" s="100"/>
      <c r="AK47" s="100"/>
      <c r="AL47" s="100"/>
      <c r="AM47" s="100"/>
      <c r="AN47" s="100"/>
      <c r="AO47" s="100"/>
      <c r="AP47" s="100"/>
      <c r="AQ47" s="100"/>
    </row>
    <row r="48" spans="1:43" ht="54" customHeight="1" x14ac:dyDescent="0.25">
      <c r="A48" s="115" t="s">
        <v>19</v>
      </c>
      <c r="B48" s="113" t="s">
        <v>473</v>
      </c>
      <c r="C48" s="129" t="s">
        <v>593</v>
      </c>
      <c r="D48" s="112" t="s">
        <v>501</v>
      </c>
      <c r="E48" s="113" t="s">
        <v>545</v>
      </c>
      <c r="F48" s="129" t="s">
        <v>35</v>
      </c>
      <c r="G48" s="113" t="s">
        <v>796</v>
      </c>
      <c r="H48" s="132">
        <v>45809</v>
      </c>
      <c r="I48" s="132">
        <v>45931</v>
      </c>
      <c r="J48" s="104" t="s">
        <v>1110</v>
      </c>
      <c r="K48" s="116" t="s">
        <v>502</v>
      </c>
      <c r="L48" s="100">
        <v>0</v>
      </c>
      <c r="M48" s="100" t="s">
        <v>466</v>
      </c>
      <c r="N48" s="100">
        <v>0</v>
      </c>
      <c r="O48" s="100" t="s">
        <v>466</v>
      </c>
      <c r="P48" s="100">
        <v>0</v>
      </c>
      <c r="Q48" s="100" t="s">
        <v>466</v>
      </c>
      <c r="R48" s="100">
        <v>0</v>
      </c>
      <c r="S48" s="100" t="s">
        <v>466</v>
      </c>
      <c r="T48" s="100">
        <v>0</v>
      </c>
      <c r="U48" s="100" t="s">
        <v>466</v>
      </c>
      <c r="V48" s="100">
        <v>0</v>
      </c>
      <c r="W48" s="100" t="s">
        <v>466</v>
      </c>
      <c r="X48" s="100">
        <v>0</v>
      </c>
      <c r="Y48" s="100" t="s">
        <v>466</v>
      </c>
      <c r="Z48" s="100">
        <v>0</v>
      </c>
      <c r="AA48" s="100" t="s">
        <v>466</v>
      </c>
      <c r="AB48" s="100">
        <v>0</v>
      </c>
      <c r="AC48" s="100" t="s">
        <v>466</v>
      </c>
      <c r="AD48" s="100">
        <v>300000</v>
      </c>
      <c r="AE48" s="100" t="s">
        <v>455</v>
      </c>
      <c r="AF48" s="100">
        <v>0</v>
      </c>
      <c r="AG48" s="100">
        <f t="shared" si="0"/>
        <v>0</v>
      </c>
      <c r="AH48" s="141"/>
      <c r="AI48" s="100"/>
      <c r="AJ48" s="100"/>
      <c r="AK48" s="100"/>
      <c r="AL48" s="100"/>
      <c r="AM48" s="100"/>
      <c r="AN48" s="100"/>
      <c r="AO48" s="100"/>
      <c r="AP48" s="100"/>
      <c r="AQ48" s="100"/>
    </row>
    <row r="49" spans="1:43" ht="50.25" customHeight="1" x14ac:dyDescent="0.25">
      <c r="A49" s="115" t="s">
        <v>19</v>
      </c>
      <c r="B49" s="113" t="s">
        <v>473</v>
      </c>
      <c r="C49" s="129" t="s">
        <v>593</v>
      </c>
      <c r="D49" s="112" t="s">
        <v>501</v>
      </c>
      <c r="E49" s="113" t="s">
        <v>545</v>
      </c>
      <c r="F49" s="129" t="s">
        <v>35</v>
      </c>
      <c r="G49" s="111" t="s">
        <v>797</v>
      </c>
      <c r="H49" s="132">
        <v>45809</v>
      </c>
      <c r="I49" s="132">
        <v>45809</v>
      </c>
      <c r="J49" s="106" t="s">
        <v>1100</v>
      </c>
      <c r="K49" s="116" t="s">
        <v>502</v>
      </c>
      <c r="L49" s="100">
        <v>0</v>
      </c>
      <c r="M49" s="100" t="s">
        <v>466</v>
      </c>
      <c r="N49" s="100">
        <v>0</v>
      </c>
      <c r="O49" s="100" t="s">
        <v>466</v>
      </c>
      <c r="P49" s="100">
        <v>0</v>
      </c>
      <c r="Q49" s="100" t="s">
        <v>466</v>
      </c>
      <c r="R49" s="100">
        <v>0</v>
      </c>
      <c r="S49" s="100" t="s">
        <v>466</v>
      </c>
      <c r="T49" s="100">
        <v>0</v>
      </c>
      <c r="U49" s="100" t="s">
        <v>466</v>
      </c>
      <c r="V49" s="100">
        <v>80000</v>
      </c>
      <c r="W49" s="100" t="s">
        <v>455</v>
      </c>
      <c r="X49" s="100">
        <v>80000</v>
      </c>
      <c r="Y49" s="100" t="s">
        <v>455</v>
      </c>
      <c r="Z49" s="100">
        <v>80000</v>
      </c>
      <c r="AA49" s="100" t="s">
        <v>455</v>
      </c>
      <c r="AB49" s="100">
        <v>80000</v>
      </c>
      <c r="AC49" s="100" t="s">
        <v>455</v>
      </c>
      <c r="AD49" s="100">
        <v>80000</v>
      </c>
      <c r="AE49" s="100" t="s">
        <v>455</v>
      </c>
      <c r="AF49" s="100">
        <v>0</v>
      </c>
      <c r="AG49" s="100">
        <f t="shared" si="0"/>
        <v>0</v>
      </c>
      <c r="AH49" s="141">
        <f t="shared" si="3"/>
        <v>80000</v>
      </c>
      <c r="AI49" s="100">
        <v>0</v>
      </c>
      <c r="AJ49" s="100">
        <v>0</v>
      </c>
      <c r="AK49" s="100">
        <v>0</v>
      </c>
      <c r="AL49" s="100">
        <v>0</v>
      </c>
      <c r="AM49" s="100">
        <v>0</v>
      </c>
      <c r="AN49" s="100">
        <v>0</v>
      </c>
      <c r="AO49" s="100">
        <v>0</v>
      </c>
      <c r="AP49" s="100">
        <v>80000</v>
      </c>
      <c r="AQ49" s="100"/>
    </row>
    <row r="50" spans="1:43" ht="40.5" x14ac:dyDescent="0.25">
      <c r="A50" s="113" t="s">
        <v>32</v>
      </c>
      <c r="B50" s="113" t="s">
        <v>474</v>
      </c>
      <c r="C50" s="129" t="s">
        <v>514</v>
      </c>
      <c r="D50" s="112" t="s">
        <v>515</v>
      </c>
      <c r="E50" s="109" t="s">
        <v>456</v>
      </c>
      <c r="F50" s="129" t="s">
        <v>44</v>
      </c>
      <c r="G50" s="110" t="s">
        <v>45</v>
      </c>
      <c r="H50" s="133">
        <v>45706</v>
      </c>
      <c r="I50" s="133">
        <v>45709</v>
      </c>
      <c r="J50" s="105" t="s">
        <v>645</v>
      </c>
      <c r="K50" s="116" t="s">
        <v>547</v>
      </c>
      <c r="L50" s="100">
        <v>0</v>
      </c>
      <c r="M50" s="100" t="s">
        <v>466</v>
      </c>
      <c r="N50" s="100">
        <v>32000</v>
      </c>
      <c r="O50" s="100" t="s">
        <v>455</v>
      </c>
      <c r="P50" s="100">
        <v>12000</v>
      </c>
      <c r="Q50" s="100" t="s">
        <v>455</v>
      </c>
      <c r="R50" s="100">
        <v>12000</v>
      </c>
      <c r="S50" s="100" t="s">
        <v>455</v>
      </c>
      <c r="T50" s="100">
        <v>12000</v>
      </c>
      <c r="U50" s="100" t="s">
        <v>455</v>
      </c>
      <c r="V50" s="100">
        <v>0</v>
      </c>
      <c r="W50" s="100" t="s">
        <v>466</v>
      </c>
      <c r="X50" s="100">
        <v>0</v>
      </c>
      <c r="Y50" s="100" t="s">
        <v>466</v>
      </c>
      <c r="Z50" s="100">
        <v>0</v>
      </c>
      <c r="AA50" s="100" t="s">
        <v>466</v>
      </c>
      <c r="AB50" s="100">
        <v>0</v>
      </c>
      <c r="AC50" s="100" t="s">
        <v>466</v>
      </c>
      <c r="AD50" s="100">
        <v>0</v>
      </c>
      <c r="AE50" s="100" t="s">
        <v>466</v>
      </c>
      <c r="AF50" s="100">
        <v>0</v>
      </c>
      <c r="AG50" s="100">
        <f t="shared" si="0"/>
        <v>0</v>
      </c>
      <c r="AH50" s="141">
        <f t="shared" si="3"/>
        <v>68000</v>
      </c>
      <c r="AI50" s="100">
        <v>0</v>
      </c>
      <c r="AJ50" s="100">
        <v>0</v>
      </c>
      <c r="AK50" s="100">
        <v>32000</v>
      </c>
      <c r="AL50" s="100">
        <v>12000</v>
      </c>
      <c r="AM50" s="100">
        <v>12000</v>
      </c>
      <c r="AN50" s="100">
        <v>0</v>
      </c>
      <c r="AO50" s="100">
        <v>12000</v>
      </c>
      <c r="AP50" s="100">
        <v>0</v>
      </c>
      <c r="AQ50" s="100"/>
    </row>
    <row r="51" spans="1:43" ht="40.5" x14ac:dyDescent="0.25">
      <c r="A51" s="113" t="s">
        <v>32</v>
      </c>
      <c r="B51" s="113" t="s">
        <v>474</v>
      </c>
      <c r="C51" s="129" t="s">
        <v>514</v>
      </c>
      <c r="D51" s="112" t="s">
        <v>515</v>
      </c>
      <c r="E51" s="109" t="s">
        <v>456</v>
      </c>
      <c r="F51" s="129" t="s">
        <v>44</v>
      </c>
      <c r="G51" s="110" t="s">
        <v>45</v>
      </c>
      <c r="H51" s="133">
        <v>45706</v>
      </c>
      <c r="I51" s="132">
        <v>45839</v>
      </c>
      <c r="J51" s="105" t="s">
        <v>964</v>
      </c>
      <c r="K51" s="116" t="s">
        <v>547</v>
      </c>
      <c r="L51" s="100">
        <v>0</v>
      </c>
      <c r="M51" s="100" t="s">
        <v>466</v>
      </c>
      <c r="N51" s="100">
        <v>0</v>
      </c>
      <c r="O51" s="100" t="s">
        <v>466</v>
      </c>
      <c r="P51" s="100">
        <v>0</v>
      </c>
      <c r="Q51" s="100" t="s">
        <v>466</v>
      </c>
      <c r="R51" s="100">
        <v>0</v>
      </c>
      <c r="S51" s="100" t="s">
        <v>466</v>
      </c>
      <c r="T51" s="100">
        <v>0</v>
      </c>
      <c r="U51" s="100" t="s">
        <v>466</v>
      </c>
      <c r="V51" s="100">
        <v>0</v>
      </c>
      <c r="W51" s="100" t="s">
        <v>466</v>
      </c>
      <c r="X51" s="100">
        <v>16000</v>
      </c>
      <c r="Y51" s="100" t="s">
        <v>455</v>
      </c>
      <c r="Z51" s="100">
        <v>16000</v>
      </c>
      <c r="AA51" s="100" t="s">
        <v>455</v>
      </c>
      <c r="AB51" s="100">
        <v>0</v>
      </c>
      <c r="AC51" s="100" t="s">
        <v>466</v>
      </c>
      <c r="AD51" s="100">
        <v>0</v>
      </c>
      <c r="AE51" s="100" t="s">
        <v>466</v>
      </c>
      <c r="AF51" s="100">
        <v>0</v>
      </c>
      <c r="AG51" s="100">
        <v>0</v>
      </c>
      <c r="AH51" s="141">
        <f t="shared" si="3"/>
        <v>32000</v>
      </c>
      <c r="AI51" s="100">
        <v>0</v>
      </c>
      <c r="AJ51" s="100">
        <v>0</v>
      </c>
      <c r="AK51" s="100">
        <v>0</v>
      </c>
      <c r="AL51" s="100">
        <v>0</v>
      </c>
      <c r="AM51" s="100">
        <v>0</v>
      </c>
      <c r="AN51" s="100">
        <v>0</v>
      </c>
      <c r="AO51" s="100">
        <v>0</v>
      </c>
      <c r="AP51" s="100">
        <v>16000</v>
      </c>
      <c r="AQ51" s="100">
        <v>16000</v>
      </c>
    </row>
    <row r="52" spans="1:43" ht="50.25" customHeight="1" x14ac:dyDescent="0.25">
      <c r="A52" s="115" t="s">
        <v>19</v>
      </c>
      <c r="B52" s="113" t="s">
        <v>473</v>
      </c>
      <c r="C52" s="129" t="s">
        <v>593</v>
      </c>
      <c r="D52" s="112" t="s">
        <v>501</v>
      </c>
      <c r="E52" s="113" t="s">
        <v>545</v>
      </c>
      <c r="F52" s="129" t="s">
        <v>35</v>
      </c>
      <c r="G52" s="115" t="s">
        <v>306</v>
      </c>
      <c r="H52" s="132">
        <v>45733</v>
      </c>
      <c r="I52" s="132">
        <v>45809</v>
      </c>
      <c r="J52" s="106" t="s">
        <v>1101</v>
      </c>
      <c r="K52" s="116" t="s">
        <v>502</v>
      </c>
      <c r="L52" s="100">
        <v>0</v>
      </c>
      <c r="M52" s="100" t="s">
        <v>466</v>
      </c>
      <c r="N52" s="100">
        <v>0</v>
      </c>
      <c r="O52" s="100" t="s">
        <v>466</v>
      </c>
      <c r="P52" s="100">
        <v>0</v>
      </c>
      <c r="Q52" s="100" t="s">
        <v>466</v>
      </c>
      <c r="R52" s="100">
        <v>0</v>
      </c>
      <c r="S52" s="100" t="s">
        <v>466</v>
      </c>
      <c r="T52" s="100">
        <v>0</v>
      </c>
      <c r="U52" s="100" t="s">
        <v>466</v>
      </c>
      <c r="V52" s="100">
        <v>127500</v>
      </c>
      <c r="W52" s="100" t="s">
        <v>455</v>
      </c>
      <c r="X52" s="100">
        <v>127500</v>
      </c>
      <c r="Y52" s="100" t="s">
        <v>455</v>
      </c>
      <c r="Z52" s="100">
        <v>127500</v>
      </c>
      <c r="AA52" s="100" t="s">
        <v>455</v>
      </c>
      <c r="AB52" s="100">
        <v>127500</v>
      </c>
      <c r="AC52" s="100" t="s">
        <v>455</v>
      </c>
      <c r="AD52" s="100">
        <v>127500</v>
      </c>
      <c r="AE52" s="100" t="s">
        <v>455</v>
      </c>
      <c r="AF52" s="100">
        <v>0</v>
      </c>
      <c r="AG52" s="100">
        <f t="shared" si="0"/>
        <v>0</v>
      </c>
      <c r="AH52" s="141">
        <f t="shared" si="3"/>
        <v>0</v>
      </c>
      <c r="AI52" s="100">
        <v>0</v>
      </c>
      <c r="AJ52" s="100">
        <v>0</v>
      </c>
      <c r="AK52" s="100">
        <v>0</v>
      </c>
      <c r="AL52" s="100">
        <v>0</v>
      </c>
      <c r="AM52" s="100">
        <v>0</v>
      </c>
      <c r="AN52" s="100">
        <v>0</v>
      </c>
      <c r="AO52" s="100">
        <v>0</v>
      </c>
      <c r="AP52" s="100"/>
      <c r="AQ52" s="100"/>
    </row>
    <row r="53" spans="1:43" ht="20.25" x14ac:dyDescent="0.25">
      <c r="A53" s="113" t="s">
        <v>5</v>
      </c>
      <c r="B53" s="113" t="s">
        <v>473</v>
      </c>
      <c r="C53" s="129" t="s">
        <v>941</v>
      </c>
      <c r="D53" s="112" t="s">
        <v>472</v>
      </c>
      <c r="E53" s="115" t="s">
        <v>25</v>
      </c>
      <c r="F53" s="129" t="s">
        <v>942</v>
      </c>
      <c r="G53" s="113" t="s">
        <v>943</v>
      </c>
      <c r="H53" s="132">
        <v>45862</v>
      </c>
      <c r="I53" s="132">
        <v>45870</v>
      </c>
      <c r="J53" s="104" t="s">
        <v>944</v>
      </c>
      <c r="K53" s="116" t="s">
        <v>537</v>
      </c>
      <c r="L53" s="100">
        <v>0</v>
      </c>
      <c r="M53" s="100" t="s">
        <v>466</v>
      </c>
      <c r="N53" s="100">
        <v>0</v>
      </c>
      <c r="O53" s="100" t="s">
        <v>466</v>
      </c>
      <c r="P53" s="100">
        <v>0</v>
      </c>
      <c r="Q53" s="100" t="s">
        <v>466</v>
      </c>
      <c r="R53" s="100">
        <v>0</v>
      </c>
      <c r="S53" s="100" t="s">
        <v>466</v>
      </c>
      <c r="T53" s="100">
        <v>0</v>
      </c>
      <c r="U53" s="100" t="s">
        <v>466</v>
      </c>
      <c r="V53" s="100">
        <v>0</v>
      </c>
      <c r="W53" s="100" t="s">
        <v>466</v>
      </c>
      <c r="X53" s="100">
        <v>0</v>
      </c>
      <c r="Y53" s="100" t="s">
        <v>466</v>
      </c>
      <c r="Z53" s="100">
        <v>58000</v>
      </c>
      <c r="AA53" s="100" t="s">
        <v>455</v>
      </c>
      <c r="AB53" s="100">
        <v>40000</v>
      </c>
      <c r="AC53" s="100" t="s">
        <v>455</v>
      </c>
      <c r="AD53" s="100">
        <v>40000</v>
      </c>
      <c r="AE53" s="100" t="s">
        <v>455</v>
      </c>
      <c r="AF53" s="100">
        <v>0</v>
      </c>
      <c r="AG53" s="100">
        <f t="shared" si="0"/>
        <v>0</v>
      </c>
      <c r="AH53" s="141">
        <f t="shared" si="3"/>
        <v>58000</v>
      </c>
      <c r="AI53" s="100">
        <v>0</v>
      </c>
      <c r="AJ53" s="100">
        <v>0</v>
      </c>
      <c r="AK53" s="100">
        <v>0</v>
      </c>
      <c r="AL53" s="100">
        <v>0</v>
      </c>
      <c r="AM53" s="100">
        <v>0</v>
      </c>
      <c r="AN53" s="100">
        <v>0</v>
      </c>
      <c r="AO53" s="100">
        <v>0</v>
      </c>
      <c r="AP53" s="100">
        <v>58000</v>
      </c>
      <c r="AQ53" s="100"/>
    </row>
    <row r="54" spans="1:43" ht="20.25" x14ac:dyDescent="0.25">
      <c r="A54" s="113" t="s">
        <v>5</v>
      </c>
      <c r="B54" s="113" t="s">
        <v>473</v>
      </c>
      <c r="C54" s="129" t="s">
        <v>941</v>
      </c>
      <c r="D54" s="112" t="s">
        <v>472</v>
      </c>
      <c r="E54" s="115" t="s">
        <v>25</v>
      </c>
      <c r="F54" s="129" t="s">
        <v>942</v>
      </c>
      <c r="G54" s="113" t="s">
        <v>971</v>
      </c>
      <c r="H54" s="132">
        <v>45862</v>
      </c>
      <c r="I54" s="132">
        <v>45870</v>
      </c>
      <c r="J54" s="106" t="s">
        <v>945</v>
      </c>
      <c r="K54" s="116" t="s">
        <v>537</v>
      </c>
      <c r="L54" s="100">
        <v>0</v>
      </c>
      <c r="M54" s="100" t="s">
        <v>466</v>
      </c>
      <c r="N54" s="100">
        <v>0</v>
      </c>
      <c r="O54" s="100" t="s">
        <v>466</v>
      </c>
      <c r="P54" s="100">
        <v>0</v>
      </c>
      <c r="Q54" s="100" t="s">
        <v>466</v>
      </c>
      <c r="R54" s="100">
        <v>0</v>
      </c>
      <c r="S54" s="100" t="s">
        <v>466</v>
      </c>
      <c r="T54" s="100">
        <v>0</v>
      </c>
      <c r="U54" s="100" t="s">
        <v>466</v>
      </c>
      <c r="V54" s="100">
        <v>0</v>
      </c>
      <c r="W54" s="100" t="s">
        <v>466</v>
      </c>
      <c r="X54" s="100">
        <v>0</v>
      </c>
      <c r="Y54" s="100" t="s">
        <v>466</v>
      </c>
      <c r="Z54" s="100">
        <v>54000</v>
      </c>
      <c r="AA54" s="100" t="s">
        <v>455</v>
      </c>
      <c r="AB54" s="100">
        <v>54000</v>
      </c>
      <c r="AC54" s="100" t="s">
        <v>455</v>
      </c>
      <c r="AD54" s="100">
        <v>54000</v>
      </c>
      <c r="AE54" s="100" t="s">
        <v>455</v>
      </c>
      <c r="AF54" s="100">
        <v>0</v>
      </c>
      <c r="AG54" s="100">
        <f t="shared" si="0"/>
        <v>0</v>
      </c>
      <c r="AH54" s="141">
        <f t="shared" si="3"/>
        <v>54000</v>
      </c>
      <c r="AI54" s="100">
        <v>0</v>
      </c>
      <c r="AJ54" s="100">
        <v>0</v>
      </c>
      <c r="AK54" s="100">
        <v>0</v>
      </c>
      <c r="AL54" s="100">
        <v>0</v>
      </c>
      <c r="AM54" s="100">
        <v>0</v>
      </c>
      <c r="AN54" s="100">
        <v>0</v>
      </c>
      <c r="AO54" s="100">
        <v>0</v>
      </c>
      <c r="AP54" s="100">
        <v>54000</v>
      </c>
      <c r="AQ54" s="100"/>
    </row>
    <row r="55" spans="1:43" ht="20.25" x14ac:dyDescent="0.25">
      <c r="A55" s="115" t="s">
        <v>19</v>
      </c>
      <c r="B55" s="113" t="s">
        <v>473</v>
      </c>
      <c r="C55" s="129" t="s">
        <v>946</v>
      </c>
      <c r="D55" s="112" t="s">
        <v>947</v>
      </c>
      <c r="E55" s="113" t="s">
        <v>545</v>
      </c>
      <c r="F55" s="129" t="s">
        <v>948</v>
      </c>
      <c r="G55" s="113" t="s">
        <v>949</v>
      </c>
      <c r="H55" s="132">
        <v>45839</v>
      </c>
      <c r="I55" s="132">
        <v>45870</v>
      </c>
      <c r="J55" s="104" t="s">
        <v>950</v>
      </c>
      <c r="K55" s="116" t="s">
        <v>952</v>
      </c>
      <c r="L55" s="100">
        <v>0</v>
      </c>
      <c r="M55" s="100" t="s">
        <v>466</v>
      </c>
      <c r="N55" s="100">
        <v>0</v>
      </c>
      <c r="O55" s="100" t="s">
        <v>466</v>
      </c>
      <c r="P55" s="100">
        <v>0</v>
      </c>
      <c r="Q55" s="100" t="s">
        <v>466</v>
      </c>
      <c r="R55" s="100">
        <v>0</v>
      </c>
      <c r="S55" s="100" t="s">
        <v>466</v>
      </c>
      <c r="T55" s="100">
        <v>0</v>
      </c>
      <c r="U55" s="100" t="s">
        <v>466</v>
      </c>
      <c r="V55" s="100">
        <v>0</v>
      </c>
      <c r="W55" s="100" t="s">
        <v>466</v>
      </c>
      <c r="X55" s="100">
        <v>0</v>
      </c>
      <c r="Y55" s="100" t="s">
        <v>466</v>
      </c>
      <c r="Z55" s="100">
        <v>60000</v>
      </c>
      <c r="AA55" s="100" t="s">
        <v>455</v>
      </c>
      <c r="AB55" s="100">
        <v>0</v>
      </c>
      <c r="AC55" s="100" t="s">
        <v>466</v>
      </c>
      <c r="AD55" s="100">
        <v>0</v>
      </c>
      <c r="AE55" s="100" t="s">
        <v>466</v>
      </c>
      <c r="AF55" s="100">
        <v>0</v>
      </c>
      <c r="AG55" s="100">
        <f t="shared" si="0"/>
        <v>0</v>
      </c>
      <c r="AH55" s="141">
        <f t="shared" si="3"/>
        <v>60000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60000</v>
      </c>
      <c r="AQ55" s="100"/>
    </row>
    <row r="56" spans="1:43" ht="20.25" x14ac:dyDescent="0.25">
      <c r="A56" s="115" t="s">
        <v>19</v>
      </c>
      <c r="B56" s="113" t="s">
        <v>473</v>
      </c>
      <c r="C56" s="129" t="s">
        <v>946</v>
      </c>
      <c r="D56" s="112" t="s">
        <v>947</v>
      </c>
      <c r="E56" s="113" t="s">
        <v>545</v>
      </c>
      <c r="F56" s="129" t="s">
        <v>948</v>
      </c>
      <c r="G56" s="113" t="s">
        <v>949</v>
      </c>
      <c r="H56" s="132">
        <v>45839</v>
      </c>
      <c r="I56" s="132">
        <v>45870</v>
      </c>
      <c r="J56" s="104" t="s">
        <v>951</v>
      </c>
      <c r="K56" s="116" t="s">
        <v>952</v>
      </c>
      <c r="L56" s="100">
        <v>0</v>
      </c>
      <c r="M56" s="100" t="s">
        <v>466</v>
      </c>
      <c r="N56" s="100">
        <v>0</v>
      </c>
      <c r="O56" s="100" t="s">
        <v>466</v>
      </c>
      <c r="P56" s="100">
        <v>0</v>
      </c>
      <c r="Q56" s="100" t="s">
        <v>466</v>
      </c>
      <c r="R56" s="100">
        <v>0</v>
      </c>
      <c r="S56" s="100" t="s">
        <v>466</v>
      </c>
      <c r="T56" s="100">
        <v>0</v>
      </c>
      <c r="U56" s="100" t="s">
        <v>466</v>
      </c>
      <c r="V56" s="100">
        <v>0</v>
      </c>
      <c r="W56" s="100" t="s">
        <v>466</v>
      </c>
      <c r="X56" s="100">
        <v>0</v>
      </c>
      <c r="Y56" s="100" t="s">
        <v>466</v>
      </c>
      <c r="Z56" s="100">
        <v>60000</v>
      </c>
      <c r="AA56" s="100" t="s">
        <v>455</v>
      </c>
      <c r="AB56" s="100">
        <v>0</v>
      </c>
      <c r="AC56" s="100" t="s">
        <v>466</v>
      </c>
      <c r="AD56" s="100">
        <v>0</v>
      </c>
      <c r="AE56" s="100" t="s">
        <v>466</v>
      </c>
      <c r="AF56" s="100">
        <v>0</v>
      </c>
      <c r="AG56" s="100">
        <f t="shared" si="0"/>
        <v>0</v>
      </c>
      <c r="AH56" s="141">
        <f t="shared" si="3"/>
        <v>60000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60000</v>
      </c>
      <c r="AQ56" s="100"/>
    </row>
    <row r="57" spans="1:43" ht="20.25" x14ac:dyDescent="0.25">
      <c r="A57" s="115" t="s">
        <v>19</v>
      </c>
      <c r="B57" s="113" t="s">
        <v>473</v>
      </c>
      <c r="C57" s="129" t="s">
        <v>946</v>
      </c>
      <c r="D57" s="112" t="s">
        <v>947</v>
      </c>
      <c r="E57" s="113" t="s">
        <v>545</v>
      </c>
      <c r="F57" s="129" t="s">
        <v>948</v>
      </c>
      <c r="G57" s="113" t="s">
        <v>953</v>
      </c>
      <c r="H57" s="132">
        <v>45839</v>
      </c>
      <c r="I57" s="132">
        <v>45870</v>
      </c>
      <c r="J57" s="106" t="s">
        <v>954</v>
      </c>
      <c r="K57" s="116" t="s">
        <v>952</v>
      </c>
      <c r="L57" s="100">
        <v>0</v>
      </c>
      <c r="M57" s="100" t="s">
        <v>466</v>
      </c>
      <c r="N57" s="100">
        <v>0</v>
      </c>
      <c r="O57" s="100" t="s">
        <v>466</v>
      </c>
      <c r="P57" s="100">
        <v>0</v>
      </c>
      <c r="Q57" s="100" t="s">
        <v>466</v>
      </c>
      <c r="R57" s="100">
        <v>0</v>
      </c>
      <c r="S57" s="100" t="s">
        <v>466</v>
      </c>
      <c r="T57" s="100">
        <v>0</v>
      </c>
      <c r="U57" s="100" t="s">
        <v>466</v>
      </c>
      <c r="V57" s="100">
        <v>0</v>
      </c>
      <c r="W57" s="100" t="s">
        <v>466</v>
      </c>
      <c r="X57" s="100">
        <v>0</v>
      </c>
      <c r="Y57" s="100" t="s">
        <v>466</v>
      </c>
      <c r="Z57" s="100">
        <v>65000</v>
      </c>
      <c r="AA57" s="100" t="s">
        <v>455</v>
      </c>
      <c r="AB57" s="100">
        <v>0</v>
      </c>
      <c r="AC57" s="100" t="s">
        <v>466</v>
      </c>
      <c r="AD57" s="100">
        <v>0</v>
      </c>
      <c r="AE57" s="100" t="s">
        <v>466</v>
      </c>
      <c r="AF57" s="100">
        <v>0</v>
      </c>
      <c r="AG57" s="100">
        <f t="shared" si="0"/>
        <v>0</v>
      </c>
      <c r="AH57" s="141">
        <f t="shared" si="3"/>
        <v>65000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65000</v>
      </c>
      <c r="AQ57" s="100"/>
    </row>
    <row r="58" spans="1:43" ht="40.5" x14ac:dyDescent="0.25">
      <c r="A58" s="115" t="s">
        <v>19</v>
      </c>
      <c r="B58" s="113" t="s">
        <v>473</v>
      </c>
      <c r="C58" s="129" t="s">
        <v>955</v>
      </c>
      <c r="D58" s="112" t="s">
        <v>955</v>
      </c>
      <c r="E58" s="113" t="s">
        <v>956</v>
      </c>
      <c r="F58" s="129" t="s">
        <v>957</v>
      </c>
      <c r="G58" s="113" t="s">
        <v>958</v>
      </c>
      <c r="H58" s="132">
        <v>45845</v>
      </c>
      <c r="I58" s="132">
        <v>45870</v>
      </c>
      <c r="J58" s="104" t="s">
        <v>962</v>
      </c>
      <c r="K58" s="116" t="s">
        <v>959</v>
      </c>
      <c r="L58" s="100">
        <v>0</v>
      </c>
      <c r="M58" s="100" t="s">
        <v>466</v>
      </c>
      <c r="N58" s="100">
        <v>0</v>
      </c>
      <c r="O58" s="100" t="s">
        <v>466</v>
      </c>
      <c r="P58" s="100">
        <v>0</v>
      </c>
      <c r="Q58" s="100" t="s">
        <v>466</v>
      </c>
      <c r="R58" s="100">
        <v>0</v>
      </c>
      <c r="S58" s="100" t="s">
        <v>466</v>
      </c>
      <c r="T58" s="100">
        <v>0</v>
      </c>
      <c r="U58" s="100" t="s">
        <v>466</v>
      </c>
      <c r="V58" s="100">
        <v>0</v>
      </c>
      <c r="W58" s="100" t="s">
        <v>466</v>
      </c>
      <c r="X58" s="100">
        <v>23600</v>
      </c>
      <c r="Y58" s="100" t="s">
        <v>455</v>
      </c>
      <c r="Z58" s="100">
        <v>12400</v>
      </c>
      <c r="AA58" s="100" t="s">
        <v>455</v>
      </c>
      <c r="AB58" s="100">
        <v>8000</v>
      </c>
      <c r="AC58" s="100" t="s">
        <v>455</v>
      </c>
      <c r="AD58" s="100">
        <v>0</v>
      </c>
      <c r="AE58" s="100" t="s">
        <v>466</v>
      </c>
      <c r="AF58" s="100">
        <v>0</v>
      </c>
      <c r="AG58" s="100">
        <f>SUMIF(L58:AC58,"&lt;0")</f>
        <v>0</v>
      </c>
      <c r="AH58" s="141">
        <f t="shared" si="3"/>
        <v>32000</v>
      </c>
      <c r="AI58" s="100">
        <v>0</v>
      </c>
      <c r="AJ58" s="100">
        <v>0</v>
      </c>
      <c r="AK58" s="100">
        <v>0</v>
      </c>
      <c r="AL58" s="100">
        <v>0</v>
      </c>
      <c r="AM58" s="100">
        <v>0</v>
      </c>
      <c r="AN58" s="100">
        <v>0</v>
      </c>
      <c r="AO58" s="100">
        <v>0</v>
      </c>
      <c r="AP58" s="100">
        <v>32000</v>
      </c>
      <c r="AQ58" s="100"/>
    </row>
    <row r="59" spans="1:43" ht="40.5" x14ac:dyDescent="0.25">
      <c r="A59" s="115" t="s">
        <v>19</v>
      </c>
      <c r="B59" s="113" t="s">
        <v>473</v>
      </c>
      <c r="C59" s="129" t="s">
        <v>955</v>
      </c>
      <c r="D59" s="112" t="s">
        <v>955</v>
      </c>
      <c r="E59" s="113" t="s">
        <v>956</v>
      </c>
      <c r="F59" s="129" t="s">
        <v>957</v>
      </c>
      <c r="G59" s="113" t="s">
        <v>960</v>
      </c>
      <c r="H59" s="132">
        <v>45845</v>
      </c>
      <c r="I59" s="132">
        <v>45870</v>
      </c>
      <c r="J59" s="106" t="s">
        <v>961</v>
      </c>
      <c r="K59" s="116" t="s">
        <v>959</v>
      </c>
      <c r="L59" s="100">
        <v>0</v>
      </c>
      <c r="M59" s="100" t="s">
        <v>466</v>
      </c>
      <c r="N59" s="100">
        <v>0</v>
      </c>
      <c r="O59" s="100" t="s">
        <v>466</v>
      </c>
      <c r="P59" s="100">
        <v>0</v>
      </c>
      <c r="Q59" s="100" t="s">
        <v>466</v>
      </c>
      <c r="R59" s="100">
        <v>0</v>
      </c>
      <c r="S59" s="100" t="s">
        <v>466</v>
      </c>
      <c r="T59" s="100">
        <v>0</v>
      </c>
      <c r="U59" s="100" t="s">
        <v>466</v>
      </c>
      <c r="V59" s="100">
        <v>0</v>
      </c>
      <c r="W59" s="100" t="s">
        <v>466</v>
      </c>
      <c r="X59" s="100">
        <v>13500</v>
      </c>
      <c r="Y59" s="100" t="s">
        <v>455</v>
      </c>
      <c r="Z59" s="100">
        <v>46500</v>
      </c>
      <c r="AA59" s="100" t="s">
        <v>455</v>
      </c>
      <c r="AB59" s="100">
        <v>30000</v>
      </c>
      <c r="AC59" s="100" t="s">
        <v>455</v>
      </c>
      <c r="AD59" s="100">
        <v>0</v>
      </c>
      <c r="AE59" s="100" t="s">
        <v>466</v>
      </c>
      <c r="AF59" s="100">
        <v>0</v>
      </c>
      <c r="AG59" s="100">
        <f>SUMIF(L59:AC59,"&lt;0")</f>
        <v>0</v>
      </c>
      <c r="AH59" s="141">
        <f t="shared" si="3"/>
        <v>45000</v>
      </c>
      <c r="AI59" s="100">
        <v>0</v>
      </c>
      <c r="AJ59" s="100">
        <v>0</v>
      </c>
      <c r="AK59" s="100">
        <v>0</v>
      </c>
      <c r="AL59" s="100">
        <v>0</v>
      </c>
      <c r="AM59" s="100">
        <v>0</v>
      </c>
      <c r="AN59" s="100">
        <v>0</v>
      </c>
      <c r="AO59" s="100">
        <v>0</v>
      </c>
      <c r="AP59" s="100">
        <v>45000</v>
      </c>
      <c r="AQ59" s="100"/>
    </row>
    <row r="60" spans="1:43" ht="20.25" x14ac:dyDescent="0.25">
      <c r="A60" s="113" t="s">
        <v>32</v>
      </c>
      <c r="B60" s="113" t="s">
        <v>473</v>
      </c>
      <c r="C60" s="129" t="s">
        <v>518</v>
      </c>
      <c r="D60" s="112" t="s">
        <v>519</v>
      </c>
      <c r="E60" s="113" t="s">
        <v>545</v>
      </c>
      <c r="F60" s="129" t="s">
        <v>35</v>
      </c>
      <c r="G60" s="115" t="s">
        <v>50</v>
      </c>
      <c r="H60" s="130">
        <v>45702</v>
      </c>
      <c r="I60" s="132">
        <v>45901</v>
      </c>
      <c r="J60" s="106" t="s">
        <v>1079</v>
      </c>
      <c r="K60" s="127" t="s">
        <v>549</v>
      </c>
      <c r="L60" s="100">
        <v>0</v>
      </c>
      <c r="M60" s="100" t="s">
        <v>466</v>
      </c>
      <c r="N60" s="100">
        <v>0</v>
      </c>
      <c r="O60" s="100" t="s">
        <v>466</v>
      </c>
      <c r="P60" s="100">
        <v>0</v>
      </c>
      <c r="Q60" s="100" t="s">
        <v>466</v>
      </c>
      <c r="R60" s="100">
        <v>0</v>
      </c>
      <c r="S60" s="100" t="s">
        <v>466</v>
      </c>
      <c r="T60" s="100">
        <v>0</v>
      </c>
      <c r="U60" s="100" t="s">
        <v>466</v>
      </c>
      <c r="V60" s="100">
        <v>0</v>
      </c>
      <c r="W60" s="100" t="s">
        <v>466</v>
      </c>
      <c r="X60" s="100">
        <v>0</v>
      </c>
      <c r="Y60" s="100" t="s">
        <v>466</v>
      </c>
      <c r="Z60" s="100">
        <v>0</v>
      </c>
      <c r="AA60" s="100" t="s">
        <v>466</v>
      </c>
      <c r="AB60" s="100">
        <v>82500</v>
      </c>
      <c r="AC60" s="100" t="s">
        <v>455</v>
      </c>
      <c r="AD60" s="100">
        <v>60000</v>
      </c>
      <c r="AE60" s="100" t="s">
        <v>455</v>
      </c>
      <c r="AF60" s="100">
        <v>0</v>
      </c>
      <c r="AG60" s="100">
        <v>0</v>
      </c>
      <c r="AH60" s="141"/>
      <c r="AI60" s="100"/>
      <c r="AJ60" s="100"/>
      <c r="AK60" s="100"/>
      <c r="AL60" s="100"/>
      <c r="AM60" s="100"/>
      <c r="AN60" s="100"/>
      <c r="AO60" s="100"/>
      <c r="AP60" s="100"/>
      <c r="AQ60" s="100"/>
    </row>
    <row r="61" spans="1:43" ht="20.25" x14ac:dyDescent="0.25">
      <c r="A61" s="113" t="s">
        <v>32</v>
      </c>
      <c r="B61" s="113" t="s">
        <v>473</v>
      </c>
      <c r="C61" s="129" t="s">
        <v>518</v>
      </c>
      <c r="D61" s="112" t="s">
        <v>519</v>
      </c>
      <c r="E61" s="113" t="s">
        <v>545</v>
      </c>
      <c r="F61" s="129" t="s">
        <v>35</v>
      </c>
      <c r="G61" s="115" t="s">
        <v>50</v>
      </c>
      <c r="H61" s="130">
        <v>45702</v>
      </c>
      <c r="I61" s="132">
        <v>45901</v>
      </c>
      <c r="J61" s="106" t="s">
        <v>1080</v>
      </c>
      <c r="K61" s="127" t="s">
        <v>549</v>
      </c>
      <c r="L61" s="100">
        <v>0</v>
      </c>
      <c r="M61" s="100" t="s">
        <v>466</v>
      </c>
      <c r="N61" s="100">
        <v>0</v>
      </c>
      <c r="O61" s="100" t="s">
        <v>466</v>
      </c>
      <c r="P61" s="100">
        <v>0</v>
      </c>
      <c r="Q61" s="100" t="s">
        <v>466</v>
      </c>
      <c r="R61" s="100">
        <v>0</v>
      </c>
      <c r="S61" s="100" t="s">
        <v>466</v>
      </c>
      <c r="T61" s="100">
        <v>0</v>
      </c>
      <c r="U61" s="100" t="s">
        <v>466</v>
      </c>
      <c r="V61" s="100">
        <v>0</v>
      </c>
      <c r="W61" s="100" t="s">
        <v>466</v>
      </c>
      <c r="X61" s="100">
        <v>0</v>
      </c>
      <c r="Y61" s="100" t="s">
        <v>466</v>
      </c>
      <c r="Z61" s="100">
        <v>0</v>
      </c>
      <c r="AA61" s="100" t="s">
        <v>466</v>
      </c>
      <c r="AB61" s="100">
        <v>126000</v>
      </c>
      <c r="AC61" s="100" t="s">
        <v>455</v>
      </c>
      <c r="AD61" s="100">
        <v>65000</v>
      </c>
      <c r="AE61" s="100" t="s">
        <v>455</v>
      </c>
      <c r="AF61" s="100">
        <v>0</v>
      </c>
      <c r="AG61" s="100">
        <v>0</v>
      </c>
      <c r="AH61" s="141"/>
      <c r="AI61" s="100"/>
      <c r="AJ61" s="100"/>
      <c r="AK61" s="100"/>
      <c r="AL61" s="100"/>
      <c r="AM61" s="100"/>
      <c r="AN61" s="100"/>
      <c r="AO61" s="100"/>
      <c r="AP61" s="100"/>
      <c r="AQ61" s="100"/>
    </row>
    <row r="62" spans="1:43" ht="20.25" x14ac:dyDescent="0.25">
      <c r="A62" s="113" t="s">
        <v>32</v>
      </c>
      <c r="B62" s="113" t="s">
        <v>473</v>
      </c>
      <c r="C62" s="129" t="s">
        <v>518</v>
      </c>
      <c r="D62" s="112" t="s">
        <v>519</v>
      </c>
      <c r="E62" s="113" t="s">
        <v>545</v>
      </c>
      <c r="F62" s="129" t="s">
        <v>35</v>
      </c>
      <c r="G62" s="115" t="s">
        <v>50</v>
      </c>
      <c r="H62" s="130">
        <v>45702</v>
      </c>
      <c r="I62" s="132">
        <v>45901</v>
      </c>
      <c r="J62" s="106" t="s">
        <v>1081</v>
      </c>
      <c r="K62" s="127" t="s">
        <v>549</v>
      </c>
      <c r="L62" s="100">
        <v>0</v>
      </c>
      <c r="M62" s="100" t="s">
        <v>466</v>
      </c>
      <c r="N62" s="100">
        <v>0</v>
      </c>
      <c r="O62" s="100" t="s">
        <v>466</v>
      </c>
      <c r="P62" s="100">
        <v>0</v>
      </c>
      <c r="Q62" s="100" t="s">
        <v>466</v>
      </c>
      <c r="R62" s="100">
        <v>0</v>
      </c>
      <c r="S62" s="100" t="s">
        <v>466</v>
      </c>
      <c r="T62" s="100">
        <v>0</v>
      </c>
      <c r="U62" s="100" t="s">
        <v>466</v>
      </c>
      <c r="V62" s="100">
        <v>0</v>
      </c>
      <c r="W62" s="100" t="s">
        <v>466</v>
      </c>
      <c r="X62" s="100">
        <v>0</v>
      </c>
      <c r="Y62" s="100" t="s">
        <v>466</v>
      </c>
      <c r="Z62" s="100">
        <v>0</v>
      </c>
      <c r="AA62" s="100" t="s">
        <v>466</v>
      </c>
      <c r="AB62" s="100">
        <v>277000</v>
      </c>
      <c r="AC62" s="100" t="s">
        <v>455</v>
      </c>
      <c r="AD62" s="100">
        <v>100000</v>
      </c>
      <c r="AE62" s="100" t="s">
        <v>455</v>
      </c>
      <c r="AF62" s="100">
        <v>0</v>
      </c>
      <c r="AG62" s="100">
        <v>0</v>
      </c>
      <c r="AH62" s="141"/>
      <c r="AI62" s="100"/>
      <c r="AJ62" s="100"/>
      <c r="AK62" s="100"/>
      <c r="AL62" s="100"/>
      <c r="AM62" s="100"/>
      <c r="AN62" s="100"/>
      <c r="AO62" s="100"/>
      <c r="AP62" s="100"/>
      <c r="AQ62" s="100"/>
    </row>
    <row r="63" spans="1:43" ht="20.25" x14ac:dyDescent="0.25">
      <c r="A63" s="113" t="s">
        <v>32</v>
      </c>
      <c r="B63" s="113" t="s">
        <v>473</v>
      </c>
      <c r="C63" s="129" t="s">
        <v>518</v>
      </c>
      <c r="D63" s="112" t="s">
        <v>519</v>
      </c>
      <c r="E63" s="113" t="s">
        <v>545</v>
      </c>
      <c r="F63" s="129" t="s">
        <v>35</v>
      </c>
      <c r="G63" s="115" t="s">
        <v>50</v>
      </c>
      <c r="H63" s="130">
        <v>45702</v>
      </c>
      <c r="I63" s="132">
        <v>45901</v>
      </c>
      <c r="J63" s="106" t="s">
        <v>1082</v>
      </c>
      <c r="K63" s="127" t="s">
        <v>549</v>
      </c>
      <c r="L63" s="100">
        <v>0</v>
      </c>
      <c r="M63" s="100" t="s">
        <v>466</v>
      </c>
      <c r="N63" s="100">
        <v>0</v>
      </c>
      <c r="O63" s="100" t="s">
        <v>466</v>
      </c>
      <c r="P63" s="100">
        <v>0</v>
      </c>
      <c r="Q63" s="100" t="s">
        <v>466</v>
      </c>
      <c r="R63" s="100">
        <v>0</v>
      </c>
      <c r="S63" s="100" t="s">
        <v>466</v>
      </c>
      <c r="T63" s="100">
        <v>0</v>
      </c>
      <c r="U63" s="100" t="s">
        <v>466</v>
      </c>
      <c r="V63" s="100">
        <v>0</v>
      </c>
      <c r="W63" s="100" t="s">
        <v>466</v>
      </c>
      <c r="X63" s="100">
        <v>0</v>
      </c>
      <c r="Y63" s="100" t="s">
        <v>466</v>
      </c>
      <c r="Z63" s="100">
        <v>0</v>
      </c>
      <c r="AA63" s="100" t="s">
        <v>466</v>
      </c>
      <c r="AB63" s="100">
        <v>70000</v>
      </c>
      <c r="AC63" s="100" t="s">
        <v>455</v>
      </c>
      <c r="AD63" s="100">
        <v>45000</v>
      </c>
      <c r="AE63" s="100" t="s">
        <v>455</v>
      </c>
      <c r="AF63" s="100">
        <v>0</v>
      </c>
      <c r="AG63" s="100">
        <v>0</v>
      </c>
      <c r="AH63" s="141"/>
      <c r="AI63" s="100"/>
      <c r="AJ63" s="100"/>
      <c r="AK63" s="100"/>
      <c r="AL63" s="100"/>
      <c r="AM63" s="100"/>
      <c r="AN63" s="100"/>
      <c r="AO63" s="100"/>
      <c r="AP63" s="100"/>
      <c r="AQ63" s="100"/>
    </row>
    <row r="64" spans="1:43" ht="20.25" x14ac:dyDescent="0.25">
      <c r="A64" s="113" t="s">
        <v>32</v>
      </c>
      <c r="B64" s="113" t="s">
        <v>473</v>
      </c>
      <c r="C64" s="129" t="s">
        <v>518</v>
      </c>
      <c r="D64" s="112" t="s">
        <v>519</v>
      </c>
      <c r="E64" s="113" t="s">
        <v>545</v>
      </c>
      <c r="F64" s="129" t="s">
        <v>35</v>
      </c>
      <c r="G64" s="115" t="s">
        <v>590</v>
      </c>
      <c r="H64" s="130">
        <v>45705</v>
      </c>
      <c r="I64" s="132">
        <v>45901</v>
      </c>
      <c r="J64" s="106" t="s">
        <v>1083</v>
      </c>
      <c r="K64" s="127" t="s">
        <v>549</v>
      </c>
      <c r="L64" s="100">
        <v>0</v>
      </c>
      <c r="M64" s="100" t="s">
        <v>466</v>
      </c>
      <c r="N64" s="100">
        <v>0</v>
      </c>
      <c r="O64" s="100" t="s">
        <v>466</v>
      </c>
      <c r="P64" s="100">
        <v>0</v>
      </c>
      <c r="Q64" s="100" t="s">
        <v>466</v>
      </c>
      <c r="R64" s="100">
        <v>0</v>
      </c>
      <c r="S64" s="100" t="s">
        <v>466</v>
      </c>
      <c r="T64" s="100">
        <v>0</v>
      </c>
      <c r="U64" s="100" t="s">
        <v>466</v>
      </c>
      <c r="V64" s="100">
        <v>0</v>
      </c>
      <c r="W64" s="100" t="s">
        <v>466</v>
      </c>
      <c r="X64" s="100">
        <v>0</v>
      </c>
      <c r="Y64" s="100" t="s">
        <v>466</v>
      </c>
      <c r="Z64" s="100">
        <v>0</v>
      </c>
      <c r="AA64" s="100" t="s">
        <v>466</v>
      </c>
      <c r="AB64" s="100">
        <v>200000</v>
      </c>
      <c r="AC64" s="100" t="s">
        <v>455</v>
      </c>
      <c r="AD64" s="100">
        <v>200000</v>
      </c>
      <c r="AE64" s="100" t="s">
        <v>455</v>
      </c>
      <c r="AF64" s="100">
        <v>0</v>
      </c>
      <c r="AG64" s="100">
        <v>0</v>
      </c>
      <c r="AH64" s="141"/>
      <c r="AI64" s="100"/>
      <c r="AJ64" s="100"/>
      <c r="AK64" s="100"/>
      <c r="AL64" s="100"/>
      <c r="AM64" s="100"/>
      <c r="AN64" s="100"/>
      <c r="AO64" s="100"/>
      <c r="AP64" s="100"/>
      <c r="AQ64" s="100"/>
    </row>
    <row r="65" spans="1:43" ht="40.5" x14ac:dyDescent="0.25">
      <c r="A65" s="113" t="s">
        <v>32</v>
      </c>
      <c r="B65" s="113" t="s">
        <v>473</v>
      </c>
      <c r="C65" s="129" t="s">
        <v>1084</v>
      </c>
      <c r="D65" s="112" t="s">
        <v>1084</v>
      </c>
      <c r="E65" s="113" t="s">
        <v>545</v>
      </c>
      <c r="F65" s="129" t="s">
        <v>1085</v>
      </c>
      <c r="G65" s="113" t="s">
        <v>1086</v>
      </c>
      <c r="H65" s="130">
        <v>45890</v>
      </c>
      <c r="I65" s="132">
        <v>45901</v>
      </c>
      <c r="J65" s="104" t="s">
        <v>1087</v>
      </c>
      <c r="K65" s="127" t="s">
        <v>1088</v>
      </c>
      <c r="L65" s="100">
        <v>0</v>
      </c>
      <c r="M65" s="100" t="s">
        <v>466</v>
      </c>
      <c r="N65" s="100">
        <v>0</v>
      </c>
      <c r="O65" s="100" t="s">
        <v>466</v>
      </c>
      <c r="P65" s="100">
        <v>0</v>
      </c>
      <c r="Q65" s="100" t="s">
        <v>466</v>
      </c>
      <c r="R65" s="100">
        <v>0</v>
      </c>
      <c r="S65" s="100" t="s">
        <v>466</v>
      </c>
      <c r="T65" s="100">
        <v>0</v>
      </c>
      <c r="U65" s="100" t="s">
        <v>466</v>
      </c>
      <c r="V65" s="100">
        <v>0</v>
      </c>
      <c r="W65" s="100" t="s">
        <v>466</v>
      </c>
      <c r="X65" s="100">
        <v>0</v>
      </c>
      <c r="Y65" s="100" t="s">
        <v>466</v>
      </c>
      <c r="Z65" s="100">
        <v>0</v>
      </c>
      <c r="AA65" s="100" t="s">
        <v>466</v>
      </c>
      <c r="AB65" s="100">
        <v>62000</v>
      </c>
      <c r="AC65" s="100" t="s">
        <v>455</v>
      </c>
      <c r="AD65" s="100">
        <v>40000</v>
      </c>
      <c r="AE65" s="100" t="s">
        <v>455</v>
      </c>
      <c r="AF65" s="100">
        <v>0</v>
      </c>
      <c r="AG65" s="100">
        <v>0</v>
      </c>
      <c r="AH65" s="141"/>
      <c r="AI65" s="100"/>
      <c r="AJ65" s="100"/>
      <c r="AK65" s="100"/>
      <c r="AL65" s="100"/>
      <c r="AM65" s="100"/>
      <c r="AN65" s="100"/>
      <c r="AO65" s="100"/>
      <c r="AP65" s="100"/>
      <c r="AQ65" s="100"/>
    </row>
    <row r="66" spans="1:43" ht="20.25" x14ac:dyDescent="0.25">
      <c r="A66" s="113" t="s">
        <v>32</v>
      </c>
      <c r="B66" s="113" t="s">
        <v>473</v>
      </c>
      <c r="C66" s="129" t="s">
        <v>1089</v>
      </c>
      <c r="D66" s="112" t="s">
        <v>1089</v>
      </c>
      <c r="E66" s="113" t="s">
        <v>545</v>
      </c>
      <c r="F66" s="129" t="s">
        <v>651</v>
      </c>
      <c r="G66" s="113" t="s">
        <v>1090</v>
      </c>
      <c r="H66" s="132">
        <v>45887</v>
      </c>
      <c r="I66" s="132">
        <v>45901</v>
      </c>
      <c r="J66" s="106" t="s">
        <v>1091</v>
      </c>
      <c r="K66" s="127" t="s">
        <v>1115</v>
      </c>
      <c r="L66" s="100">
        <v>0</v>
      </c>
      <c r="M66" s="100" t="s">
        <v>466</v>
      </c>
      <c r="N66" s="100">
        <v>0</v>
      </c>
      <c r="O66" s="100" t="s">
        <v>466</v>
      </c>
      <c r="P66" s="100">
        <v>0</v>
      </c>
      <c r="Q66" s="100" t="s">
        <v>466</v>
      </c>
      <c r="R66" s="100">
        <v>0</v>
      </c>
      <c r="S66" s="100" t="s">
        <v>466</v>
      </c>
      <c r="T66" s="100">
        <v>0</v>
      </c>
      <c r="U66" s="100" t="s">
        <v>466</v>
      </c>
      <c r="V66" s="100">
        <v>0</v>
      </c>
      <c r="W66" s="100" t="s">
        <v>466</v>
      </c>
      <c r="X66" s="100">
        <v>0</v>
      </c>
      <c r="Y66" s="100" t="s">
        <v>466</v>
      </c>
      <c r="Z66" s="100">
        <v>0</v>
      </c>
      <c r="AA66" s="100" t="s">
        <v>466</v>
      </c>
      <c r="AB66" s="100">
        <v>135000</v>
      </c>
      <c r="AC66" s="100" t="s">
        <v>455</v>
      </c>
      <c r="AD66" s="100">
        <v>0</v>
      </c>
      <c r="AE66" s="100" t="s">
        <v>466</v>
      </c>
      <c r="AF66" s="100">
        <v>0</v>
      </c>
      <c r="AG66" s="100">
        <v>0</v>
      </c>
      <c r="AH66" s="141"/>
      <c r="AI66" s="100"/>
      <c r="AJ66" s="100"/>
      <c r="AK66" s="100"/>
      <c r="AL66" s="100"/>
      <c r="AM66" s="100"/>
      <c r="AN66" s="100"/>
      <c r="AO66" s="100"/>
      <c r="AP66" s="100"/>
      <c r="AQ66" s="100"/>
    </row>
    <row r="67" spans="1:43" ht="20.25" x14ac:dyDescent="0.25">
      <c r="A67" s="113" t="s">
        <v>32</v>
      </c>
      <c r="B67" s="113" t="s">
        <v>473</v>
      </c>
      <c r="C67" s="129" t="s">
        <v>1092</v>
      </c>
      <c r="D67" s="112" t="s">
        <v>521</v>
      </c>
      <c r="E67" s="113" t="s">
        <v>545</v>
      </c>
      <c r="F67" s="129" t="s">
        <v>1093</v>
      </c>
      <c r="G67" s="115" t="s">
        <v>1094</v>
      </c>
      <c r="H67" s="132">
        <v>45880</v>
      </c>
      <c r="I67" s="132">
        <v>45880</v>
      </c>
      <c r="J67" s="106" t="s">
        <v>1095</v>
      </c>
      <c r="K67" s="127" t="s">
        <v>1116</v>
      </c>
      <c r="L67" s="100">
        <v>0</v>
      </c>
      <c r="M67" s="100" t="s">
        <v>466</v>
      </c>
      <c r="N67" s="100">
        <v>0</v>
      </c>
      <c r="O67" s="100" t="s">
        <v>466</v>
      </c>
      <c r="P67" s="100">
        <v>0</v>
      </c>
      <c r="Q67" s="100" t="s">
        <v>466</v>
      </c>
      <c r="R67" s="100">
        <v>0</v>
      </c>
      <c r="S67" s="100" t="s">
        <v>466</v>
      </c>
      <c r="T67" s="100">
        <v>0</v>
      </c>
      <c r="U67" s="100" t="s">
        <v>466</v>
      </c>
      <c r="V67" s="100">
        <v>0</v>
      </c>
      <c r="W67" s="100" t="s">
        <v>466</v>
      </c>
      <c r="X67" s="100">
        <v>0</v>
      </c>
      <c r="Y67" s="100" t="s">
        <v>466</v>
      </c>
      <c r="Z67" s="100">
        <v>220000</v>
      </c>
      <c r="AA67" s="100" t="s">
        <v>455</v>
      </c>
      <c r="AB67" s="100">
        <v>220000</v>
      </c>
      <c r="AC67" s="100" t="s">
        <v>455</v>
      </c>
      <c r="AD67" s="100">
        <v>0</v>
      </c>
      <c r="AE67" s="100" t="s">
        <v>466</v>
      </c>
      <c r="AF67" s="100">
        <v>0</v>
      </c>
      <c r="AG67" s="100">
        <v>0</v>
      </c>
      <c r="AH67" s="141"/>
      <c r="AI67" s="100"/>
      <c r="AJ67" s="100"/>
      <c r="AK67" s="100"/>
      <c r="AL67" s="100"/>
      <c r="AM67" s="100"/>
      <c r="AN67" s="100"/>
      <c r="AO67" s="100"/>
      <c r="AP67" s="100"/>
      <c r="AQ67" s="100"/>
    </row>
    <row r="68" spans="1:43" ht="20.25" x14ac:dyDescent="0.25">
      <c r="A68" s="113" t="s">
        <v>32</v>
      </c>
      <c r="B68" s="113" t="s">
        <v>473</v>
      </c>
      <c r="C68" s="129" t="s">
        <v>1096</v>
      </c>
      <c r="D68" s="112" t="s">
        <v>521</v>
      </c>
      <c r="E68" s="113" t="s">
        <v>545</v>
      </c>
      <c r="F68" s="129" t="s">
        <v>1093</v>
      </c>
      <c r="G68" s="115" t="s">
        <v>1097</v>
      </c>
      <c r="H68" s="132">
        <v>45890</v>
      </c>
      <c r="I68" s="132">
        <v>45901</v>
      </c>
      <c r="J68" s="106" t="s">
        <v>1099</v>
      </c>
      <c r="K68" s="127" t="s">
        <v>1117</v>
      </c>
      <c r="L68" s="100">
        <v>0</v>
      </c>
      <c r="M68" s="100" t="s">
        <v>466</v>
      </c>
      <c r="N68" s="100">
        <v>0</v>
      </c>
      <c r="O68" s="100" t="s">
        <v>466</v>
      </c>
      <c r="P68" s="100">
        <v>0</v>
      </c>
      <c r="Q68" s="100" t="s">
        <v>466</v>
      </c>
      <c r="R68" s="100">
        <v>0</v>
      </c>
      <c r="S68" s="100" t="s">
        <v>466</v>
      </c>
      <c r="T68" s="100">
        <v>0</v>
      </c>
      <c r="U68" s="100" t="s">
        <v>466</v>
      </c>
      <c r="V68" s="100">
        <v>0</v>
      </c>
      <c r="W68" s="100" t="s">
        <v>466</v>
      </c>
      <c r="X68" s="100">
        <v>0</v>
      </c>
      <c r="Y68" s="100" t="s">
        <v>466</v>
      </c>
      <c r="Z68" s="100">
        <v>0</v>
      </c>
      <c r="AA68" s="100" t="s">
        <v>466</v>
      </c>
      <c r="AB68" s="100">
        <v>198000</v>
      </c>
      <c r="AC68" s="100" t="s">
        <v>455</v>
      </c>
      <c r="AD68" s="100">
        <v>198000</v>
      </c>
      <c r="AE68" s="100" t="s">
        <v>455</v>
      </c>
      <c r="AF68" s="100">
        <v>0</v>
      </c>
      <c r="AG68" s="100">
        <v>0</v>
      </c>
      <c r="AH68" s="141"/>
      <c r="AI68" s="100"/>
      <c r="AJ68" s="100"/>
      <c r="AK68" s="100"/>
      <c r="AL68" s="100"/>
      <c r="AM68" s="100"/>
      <c r="AN68" s="100"/>
      <c r="AO68" s="100"/>
      <c r="AP68" s="100"/>
      <c r="AQ68" s="100"/>
    </row>
    <row r="69" spans="1:43" ht="20.25" x14ac:dyDescent="0.25">
      <c r="A69" s="113" t="s">
        <v>32</v>
      </c>
      <c r="B69" s="113" t="s">
        <v>473</v>
      </c>
      <c r="C69" s="129" t="s">
        <v>1096</v>
      </c>
      <c r="D69" s="112" t="s">
        <v>521</v>
      </c>
      <c r="E69" s="113" t="s">
        <v>545</v>
      </c>
      <c r="F69" s="129" t="s">
        <v>1093</v>
      </c>
      <c r="G69" s="113" t="s">
        <v>1098</v>
      </c>
      <c r="H69" s="132">
        <v>45890</v>
      </c>
      <c r="I69" s="132">
        <v>45901</v>
      </c>
      <c r="J69" s="106" t="s">
        <v>1099</v>
      </c>
      <c r="K69" s="127" t="s">
        <v>1117</v>
      </c>
      <c r="L69" s="100">
        <v>0</v>
      </c>
      <c r="M69" s="100" t="s">
        <v>466</v>
      </c>
      <c r="N69" s="100">
        <v>0</v>
      </c>
      <c r="O69" s="100" t="s">
        <v>466</v>
      </c>
      <c r="P69" s="100">
        <v>0</v>
      </c>
      <c r="Q69" s="100" t="s">
        <v>466</v>
      </c>
      <c r="R69" s="100">
        <v>0</v>
      </c>
      <c r="S69" s="100" t="s">
        <v>466</v>
      </c>
      <c r="T69" s="100">
        <v>0</v>
      </c>
      <c r="U69" s="100" t="s">
        <v>466</v>
      </c>
      <c r="V69" s="100">
        <v>0</v>
      </c>
      <c r="W69" s="100" t="s">
        <v>466</v>
      </c>
      <c r="X69" s="100">
        <v>0</v>
      </c>
      <c r="Y69" s="100" t="s">
        <v>466</v>
      </c>
      <c r="Z69" s="100">
        <v>0</v>
      </c>
      <c r="AA69" s="100" t="s">
        <v>466</v>
      </c>
      <c r="AB69" s="100">
        <v>157500</v>
      </c>
      <c r="AC69" s="100" t="s">
        <v>455</v>
      </c>
      <c r="AD69" s="100">
        <v>157500</v>
      </c>
      <c r="AE69" s="100" t="s">
        <v>455</v>
      </c>
      <c r="AF69" s="100">
        <v>0</v>
      </c>
      <c r="AG69" s="100">
        <v>0</v>
      </c>
      <c r="AH69" s="141"/>
      <c r="AI69" s="100"/>
      <c r="AJ69" s="100"/>
      <c r="AK69" s="100"/>
      <c r="AL69" s="100"/>
      <c r="AM69" s="100"/>
      <c r="AN69" s="100"/>
      <c r="AO69" s="100"/>
      <c r="AP69" s="100"/>
      <c r="AQ69" s="100"/>
    </row>
    <row r="70" spans="1:43" ht="20.25" x14ac:dyDescent="0.25">
      <c r="A70" s="115" t="s">
        <v>19</v>
      </c>
      <c r="B70" s="113" t="s">
        <v>1128</v>
      </c>
      <c r="C70" s="129" t="s">
        <v>1129</v>
      </c>
      <c r="D70" s="112" t="s">
        <v>1129</v>
      </c>
      <c r="E70" s="113" t="s">
        <v>545</v>
      </c>
      <c r="F70" s="129" t="s">
        <v>35</v>
      </c>
      <c r="G70" s="113" t="s">
        <v>1130</v>
      </c>
      <c r="H70" s="132">
        <v>45895</v>
      </c>
      <c r="I70" s="132">
        <v>45945</v>
      </c>
      <c r="J70" s="106" t="s">
        <v>1131</v>
      </c>
      <c r="K70" s="127" t="s">
        <v>1132</v>
      </c>
      <c r="L70" s="100">
        <v>0</v>
      </c>
      <c r="M70" s="100" t="s">
        <v>466</v>
      </c>
      <c r="N70" s="100">
        <v>0</v>
      </c>
      <c r="O70" s="100" t="s">
        <v>466</v>
      </c>
      <c r="P70" s="100">
        <v>0</v>
      </c>
      <c r="Q70" s="100" t="s">
        <v>466</v>
      </c>
      <c r="R70" s="100">
        <v>0</v>
      </c>
      <c r="S70" s="100" t="s">
        <v>466</v>
      </c>
      <c r="T70" s="100">
        <v>0</v>
      </c>
      <c r="U70" s="100" t="s">
        <v>466</v>
      </c>
      <c r="V70" s="100">
        <v>0</v>
      </c>
      <c r="W70" s="100" t="s">
        <v>466</v>
      </c>
      <c r="X70" s="100">
        <v>0</v>
      </c>
      <c r="Y70" s="100" t="s">
        <v>466</v>
      </c>
      <c r="Z70" s="100">
        <v>0</v>
      </c>
      <c r="AA70" s="100" t="s">
        <v>466</v>
      </c>
      <c r="AB70" s="100">
        <v>0</v>
      </c>
      <c r="AC70" s="100" t="s">
        <v>466</v>
      </c>
      <c r="AD70" s="100">
        <v>160000</v>
      </c>
      <c r="AE70" s="100" t="s">
        <v>455</v>
      </c>
      <c r="AF70" s="100">
        <v>0</v>
      </c>
      <c r="AG70" s="100"/>
      <c r="AH70" s="141"/>
      <c r="AI70" s="100"/>
      <c r="AJ70" s="100"/>
      <c r="AK70" s="100"/>
      <c r="AL70" s="100"/>
      <c r="AM70" s="100"/>
      <c r="AN70" s="100"/>
      <c r="AO70" s="100"/>
      <c r="AP70" s="100"/>
      <c r="AQ70" s="100"/>
    </row>
    <row r="71" spans="1:43" ht="20.25" x14ac:dyDescent="0.25">
      <c r="A71" s="115" t="s">
        <v>19</v>
      </c>
      <c r="B71" s="113" t="s">
        <v>1128</v>
      </c>
      <c r="C71" s="129" t="s">
        <v>1129</v>
      </c>
      <c r="D71" s="112" t="s">
        <v>1129</v>
      </c>
      <c r="E71" s="113" t="s">
        <v>545</v>
      </c>
      <c r="F71" s="129" t="s">
        <v>35</v>
      </c>
      <c r="G71" s="113" t="s">
        <v>1133</v>
      </c>
      <c r="H71" s="132">
        <v>45895</v>
      </c>
      <c r="I71" s="132">
        <v>45945</v>
      </c>
      <c r="J71" s="106" t="s">
        <v>1135</v>
      </c>
      <c r="K71" s="127" t="s">
        <v>1132</v>
      </c>
      <c r="L71" s="100">
        <v>0</v>
      </c>
      <c r="M71" s="100" t="s">
        <v>466</v>
      </c>
      <c r="N71" s="100">
        <v>0</v>
      </c>
      <c r="O71" s="100" t="s">
        <v>466</v>
      </c>
      <c r="P71" s="100">
        <v>0</v>
      </c>
      <c r="Q71" s="100" t="s">
        <v>466</v>
      </c>
      <c r="R71" s="100">
        <v>0</v>
      </c>
      <c r="S71" s="100" t="s">
        <v>466</v>
      </c>
      <c r="T71" s="100">
        <v>0</v>
      </c>
      <c r="U71" s="100" t="s">
        <v>466</v>
      </c>
      <c r="V71" s="100">
        <v>0</v>
      </c>
      <c r="W71" s="100" t="s">
        <v>466</v>
      </c>
      <c r="X71" s="100">
        <v>0</v>
      </c>
      <c r="Y71" s="100" t="s">
        <v>466</v>
      </c>
      <c r="Z71" s="100">
        <v>0</v>
      </c>
      <c r="AA71" s="100" t="s">
        <v>466</v>
      </c>
      <c r="AB71" s="100">
        <v>0</v>
      </c>
      <c r="AC71" s="100" t="s">
        <v>466</v>
      </c>
      <c r="AD71" s="100">
        <v>240000</v>
      </c>
      <c r="AE71" s="100" t="s">
        <v>455</v>
      </c>
      <c r="AF71" s="100">
        <v>0</v>
      </c>
      <c r="AG71" s="100"/>
      <c r="AH71" s="141"/>
      <c r="AI71" s="100"/>
      <c r="AJ71" s="100"/>
      <c r="AK71" s="100"/>
      <c r="AL71" s="100"/>
      <c r="AM71" s="100"/>
      <c r="AN71" s="100"/>
      <c r="AO71" s="100"/>
      <c r="AP71" s="100"/>
      <c r="AQ71" s="100"/>
    </row>
    <row r="72" spans="1:43" ht="20.25" x14ac:dyDescent="0.25">
      <c r="A72" s="115" t="s">
        <v>19</v>
      </c>
      <c r="B72" s="113" t="s">
        <v>1128</v>
      </c>
      <c r="C72" s="129" t="s">
        <v>1129</v>
      </c>
      <c r="D72" s="112" t="s">
        <v>1129</v>
      </c>
      <c r="E72" s="113" t="s">
        <v>545</v>
      </c>
      <c r="F72" s="129" t="s">
        <v>35</v>
      </c>
      <c r="G72" s="113" t="s">
        <v>1134</v>
      </c>
      <c r="H72" s="132">
        <v>45895</v>
      </c>
      <c r="I72" s="132">
        <v>45945</v>
      </c>
      <c r="J72" s="106" t="s">
        <v>1135</v>
      </c>
      <c r="K72" s="127" t="s">
        <v>1132</v>
      </c>
      <c r="L72" s="100">
        <v>0</v>
      </c>
      <c r="M72" s="100" t="s">
        <v>466</v>
      </c>
      <c r="N72" s="100">
        <v>0</v>
      </c>
      <c r="O72" s="100" t="s">
        <v>466</v>
      </c>
      <c r="P72" s="100">
        <v>0</v>
      </c>
      <c r="Q72" s="100" t="s">
        <v>466</v>
      </c>
      <c r="R72" s="100">
        <v>0</v>
      </c>
      <c r="S72" s="100" t="s">
        <v>466</v>
      </c>
      <c r="T72" s="100">
        <v>0</v>
      </c>
      <c r="U72" s="100" t="s">
        <v>466</v>
      </c>
      <c r="V72" s="100">
        <v>0</v>
      </c>
      <c r="W72" s="100" t="s">
        <v>466</v>
      </c>
      <c r="X72" s="100">
        <v>0</v>
      </c>
      <c r="Y72" s="100" t="s">
        <v>466</v>
      </c>
      <c r="Z72" s="100">
        <v>0</v>
      </c>
      <c r="AA72" s="100" t="s">
        <v>466</v>
      </c>
      <c r="AB72" s="100">
        <v>0</v>
      </c>
      <c r="AC72" s="100" t="s">
        <v>466</v>
      </c>
      <c r="AD72" s="100">
        <v>1200000</v>
      </c>
      <c r="AE72" s="100" t="s">
        <v>455</v>
      </c>
      <c r="AF72" s="100">
        <v>0</v>
      </c>
      <c r="AG72" s="100"/>
      <c r="AH72" s="141"/>
      <c r="AI72" s="100"/>
      <c r="AJ72" s="100"/>
      <c r="AK72" s="100"/>
      <c r="AL72" s="100"/>
      <c r="AM72" s="100"/>
      <c r="AN72" s="100"/>
      <c r="AO72" s="100"/>
      <c r="AP72" s="100"/>
      <c r="AQ72" s="100"/>
    </row>
    <row r="73" spans="1:43" ht="20.25" x14ac:dyDescent="0.25">
      <c r="A73" s="115" t="s">
        <v>19</v>
      </c>
      <c r="B73" s="113" t="s">
        <v>1128</v>
      </c>
      <c r="C73" s="129" t="s">
        <v>1129</v>
      </c>
      <c r="D73" s="112" t="s">
        <v>1129</v>
      </c>
      <c r="E73" s="113" t="s">
        <v>545</v>
      </c>
      <c r="F73" s="129" t="s">
        <v>35</v>
      </c>
      <c r="G73" s="113" t="s">
        <v>1136</v>
      </c>
      <c r="H73" s="132">
        <v>45895</v>
      </c>
      <c r="I73" s="132">
        <v>45945</v>
      </c>
      <c r="J73" s="106" t="s">
        <v>1135</v>
      </c>
      <c r="K73" s="127" t="s">
        <v>1132</v>
      </c>
      <c r="L73" s="100">
        <v>0</v>
      </c>
      <c r="M73" s="100" t="s">
        <v>466</v>
      </c>
      <c r="N73" s="100">
        <v>0</v>
      </c>
      <c r="O73" s="100" t="s">
        <v>466</v>
      </c>
      <c r="P73" s="100">
        <v>0</v>
      </c>
      <c r="Q73" s="100" t="s">
        <v>466</v>
      </c>
      <c r="R73" s="100">
        <v>0</v>
      </c>
      <c r="S73" s="100" t="s">
        <v>466</v>
      </c>
      <c r="T73" s="100">
        <v>0</v>
      </c>
      <c r="U73" s="100" t="s">
        <v>466</v>
      </c>
      <c r="V73" s="100">
        <v>0</v>
      </c>
      <c r="W73" s="100" t="s">
        <v>466</v>
      </c>
      <c r="X73" s="100">
        <v>0</v>
      </c>
      <c r="Y73" s="100" t="s">
        <v>466</v>
      </c>
      <c r="Z73" s="100">
        <v>0</v>
      </c>
      <c r="AA73" s="100" t="s">
        <v>466</v>
      </c>
      <c r="AB73" s="100">
        <v>0</v>
      </c>
      <c r="AC73" s="100" t="s">
        <v>466</v>
      </c>
      <c r="AD73" s="100">
        <v>875000</v>
      </c>
      <c r="AE73" s="100" t="s">
        <v>455</v>
      </c>
      <c r="AF73" s="100">
        <v>0</v>
      </c>
      <c r="AG73" s="100"/>
      <c r="AH73" s="141"/>
      <c r="AI73" s="100"/>
      <c r="AJ73" s="100"/>
      <c r="AK73" s="100"/>
      <c r="AL73" s="100"/>
      <c r="AM73" s="100"/>
      <c r="AN73" s="100"/>
      <c r="AO73" s="100"/>
      <c r="AP73" s="100"/>
      <c r="AQ73" s="100"/>
    </row>
    <row r="74" spans="1:43" ht="20.25" x14ac:dyDescent="0.25">
      <c r="A74" s="115" t="s">
        <v>19</v>
      </c>
      <c r="B74" s="113" t="s">
        <v>1128</v>
      </c>
      <c r="C74" s="129" t="s">
        <v>1129</v>
      </c>
      <c r="D74" s="112" t="s">
        <v>1129</v>
      </c>
      <c r="E74" s="113" t="s">
        <v>545</v>
      </c>
      <c r="F74" s="129" t="s">
        <v>35</v>
      </c>
      <c r="G74" s="113" t="s">
        <v>1136</v>
      </c>
      <c r="H74" s="132">
        <v>45895</v>
      </c>
      <c r="I74" s="132">
        <v>45945</v>
      </c>
      <c r="J74" s="106" t="s">
        <v>1137</v>
      </c>
      <c r="K74" s="127" t="s">
        <v>1132</v>
      </c>
      <c r="L74" s="100">
        <v>0</v>
      </c>
      <c r="M74" s="100" t="s">
        <v>466</v>
      </c>
      <c r="N74" s="100">
        <v>0</v>
      </c>
      <c r="O74" s="100" t="s">
        <v>466</v>
      </c>
      <c r="P74" s="100">
        <v>0</v>
      </c>
      <c r="Q74" s="100" t="s">
        <v>466</v>
      </c>
      <c r="R74" s="100">
        <v>0</v>
      </c>
      <c r="S74" s="100" t="s">
        <v>466</v>
      </c>
      <c r="T74" s="100">
        <v>0</v>
      </c>
      <c r="U74" s="100" t="s">
        <v>466</v>
      </c>
      <c r="V74" s="100">
        <v>0</v>
      </c>
      <c r="W74" s="100" t="s">
        <v>466</v>
      </c>
      <c r="X74" s="100">
        <v>0</v>
      </c>
      <c r="Y74" s="100" t="s">
        <v>466</v>
      </c>
      <c r="Z74" s="100">
        <v>0</v>
      </c>
      <c r="AA74" s="100" t="s">
        <v>466</v>
      </c>
      <c r="AB74" s="100">
        <v>0</v>
      </c>
      <c r="AC74" s="100" t="s">
        <v>466</v>
      </c>
      <c r="AD74" s="100">
        <v>723525</v>
      </c>
      <c r="AE74" s="100" t="s">
        <v>455</v>
      </c>
      <c r="AF74" s="100">
        <v>0</v>
      </c>
      <c r="AG74" s="100"/>
      <c r="AH74" s="141"/>
      <c r="AI74" s="100"/>
      <c r="AJ74" s="100"/>
      <c r="AK74" s="100"/>
      <c r="AL74" s="100"/>
      <c r="AM74" s="100"/>
      <c r="AN74" s="100"/>
      <c r="AO74" s="100"/>
      <c r="AP74" s="100"/>
      <c r="AQ74" s="100"/>
    </row>
    <row r="75" spans="1:43" ht="21" x14ac:dyDescent="0.35">
      <c r="A75" s="22"/>
      <c r="B75" s="139"/>
      <c r="C75" s="139"/>
      <c r="D75" s="139"/>
      <c r="E75" s="139"/>
      <c r="F75" s="139"/>
      <c r="G75" s="139"/>
      <c r="H75" s="139"/>
      <c r="I75" s="139"/>
      <c r="J75" s="140"/>
      <c r="K75" s="140"/>
      <c r="L75" s="128">
        <f t="shared" ref="L75:AF75" si="5">SUM(L2:L74)</f>
        <v>515797</v>
      </c>
      <c r="M75" s="128">
        <f t="shared" si="5"/>
        <v>0</v>
      </c>
      <c r="N75" s="128">
        <f t="shared" si="5"/>
        <v>662547</v>
      </c>
      <c r="O75" s="128">
        <f t="shared" si="5"/>
        <v>0</v>
      </c>
      <c r="P75" s="128">
        <f t="shared" si="5"/>
        <v>777547</v>
      </c>
      <c r="Q75" s="128">
        <f t="shared" si="5"/>
        <v>0</v>
      </c>
      <c r="R75" s="128">
        <f t="shared" si="5"/>
        <v>711547</v>
      </c>
      <c r="S75" s="128">
        <f t="shared" si="5"/>
        <v>0</v>
      </c>
      <c r="T75" s="128">
        <f t="shared" si="5"/>
        <v>1944667</v>
      </c>
      <c r="U75" s="128">
        <f t="shared" si="5"/>
        <v>0</v>
      </c>
      <c r="V75" s="128">
        <f t="shared" si="5"/>
        <v>2575513.9699999997</v>
      </c>
      <c r="W75" s="128">
        <f t="shared" si="5"/>
        <v>0</v>
      </c>
      <c r="X75" s="128">
        <f t="shared" si="5"/>
        <v>3279467</v>
      </c>
      <c r="Y75" s="128">
        <f t="shared" si="5"/>
        <v>0</v>
      </c>
      <c r="Z75" s="128">
        <f t="shared" si="5"/>
        <v>3660231.91</v>
      </c>
      <c r="AA75" s="128">
        <f t="shared" si="5"/>
        <v>0</v>
      </c>
      <c r="AB75" s="128">
        <f t="shared" si="5"/>
        <v>5209167</v>
      </c>
      <c r="AC75" s="128">
        <f t="shared" si="5"/>
        <v>0</v>
      </c>
      <c r="AD75" s="128">
        <f t="shared" si="5"/>
        <v>7106242</v>
      </c>
      <c r="AE75" s="128">
        <f t="shared" si="5"/>
        <v>-104297</v>
      </c>
      <c r="AF75" s="128">
        <f t="shared" si="5"/>
        <v>62000</v>
      </c>
      <c r="AG75" s="128">
        <f t="shared" ref="AG75" si="6">SUM(AG2:AG69)</f>
        <v>0</v>
      </c>
      <c r="AH75" s="128">
        <f t="shared" ref="AH75:AO75" si="7">SUM(AH2:AH52)</f>
        <v>8006792.9100000001</v>
      </c>
      <c r="AI75" s="128">
        <f t="shared" si="7"/>
        <v>433000</v>
      </c>
      <c r="AJ75" s="128">
        <f t="shared" si="7"/>
        <v>210000</v>
      </c>
      <c r="AK75" s="128">
        <f t="shared" si="7"/>
        <v>590500</v>
      </c>
      <c r="AL75" s="128">
        <f t="shared" si="7"/>
        <v>588391</v>
      </c>
      <c r="AM75" s="128">
        <f t="shared" si="7"/>
        <v>701000</v>
      </c>
      <c r="AN75" s="128">
        <f t="shared" si="7"/>
        <v>2919290</v>
      </c>
      <c r="AO75" s="128">
        <f t="shared" si="7"/>
        <v>2354297</v>
      </c>
      <c r="AP75" s="128"/>
      <c r="AQ75" s="128"/>
    </row>
    <row r="76" spans="1:43" ht="33.75" customHeight="1" x14ac:dyDescent="0.25">
      <c r="L76" s="100">
        <f>L75+Архив!L72</f>
        <v>1818403.95</v>
      </c>
      <c r="M76" s="100">
        <f>M75+Архив!M72</f>
        <v>0</v>
      </c>
      <c r="N76" s="100">
        <f>N75+Архив!N72</f>
        <v>3537482.23</v>
      </c>
      <c r="O76" s="100">
        <f>O75+Архив!O72</f>
        <v>0</v>
      </c>
      <c r="P76" s="100">
        <f>P75+Архив!P72</f>
        <v>4378987.76</v>
      </c>
      <c r="Q76" s="100">
        <f>Q75+Архив!Q72</f>
        <v>0</v>
      </c>
      <c r="R76" s="100">
        <f>R75+Архив!R72</f>
        <v>3704327</v>
      </c>
      <c r="S76" s="100">
        <f>S75+Архив!S72</f>
        <v>0</v>
      </c>
      <c r="T76" s="100">
        <f>T75+Архив!T72</f>
        <v>4654803.58</v>
      </c>
      <c r="U76" s="100">
        <f>U75+Архив!U72</f>
        <v>0</v>
      </c>
      <c r="V76" s="100">
        <f>V75+Архив!V72</f>
        <v>2821929.1799999997</v>
      </c>
      <c r="W76" s="100">
        <f>W75+Архив!W72</f>
        <v>0</v>
      </c>
      <c r="X76" s="100">
        <f>X75+Архив!X72</f>
        <v>3473390.92</v>
      </c>
      <c r="Y76" s="100">
        <f>Y75+Архив!Y72</f>
        <v>0</v>
      </c>
      <c r="Z76" s="100">
        <f>Z75+Архив!AB72</f>
        <v>3660231.91</v>
      </c>
      <c r="AA76" s="100">
        <f>AA75+Архив!AC72</f>
        <v>0</v>
      </c>
      <c r="AB76" s="100">
        <f>AB75+Архив!AD72</f>
        <v>20396076.66</v>
      </c>
      <c r="AC76" s="100">
        <f>AC75+Архив!AE72</f>
        <v>2141433.86</v>
      </c>
      <c r="AD76" s="100">
        <f>AD75+Архив!AF72</f>
        <v>9402402.0199999996</v>
      </c>
      <c r="AE76" s="100">
        <f>AE75+Архив!AG72</f>
        <v>2547303</v>
      </c>
      <c r="AF76" s="100">
        <f>AF75+Архив!AD72</f>
        <v>15248909.66</v>
      </c>
      <c r="AG76" s="100">
        <f>AG75+Архив!AE72</f>
        <v>2141433.86</v>
      </c>
      <c r="AH76" s="100">
        <f>AH75+Архив!AF72</f>
        <v>10302952.93</v>
      </c>
      <c r="AI76" s="100">
        <f>AI75+Архив!AG72</f>
        <v>3084600</v>
      </c>
      <c r="AJ76" s="100">
        <f>AJ75+Архив!AH72</f>
        <v>3226123.23</v>
      </c>
      <c r="AK76" s="100">
        <f>AK75+Архив!AI72</f>
        <v>3355100</v>
      </c>
      <c r="AL76" s="100">
        <f>AL75+Архив!AJ72</f>
        <v>2869774.34</v>
      </c>
      <c r="AM76" s="100">
        <f>AM75+Архив!AK72</f>
        <v>784000</v>
      </c>
      <c r="AN76" s="100">
        <f>AN75+Архив!AL72</f>
        <v>2959290</v>
      </c>
      <c r="AO76" s="100">
        <f>AO75+Архив!AM72</f>
        <v>2354297</v>
      </c>
      <c r="AP76" s="100">
        <f>AP75+Архив!AN72</f>
        <v>0</v>
      </c>
      <c r="AQ76" s="100"/>
    </row>
    <row r="79" spans="1:43" ht="20.25" x14ac:dyDescent="0.25">
      <c r="AG79" s="100">
        <f>SUM(L75:AF75)</f>
        <v>26400429.879999999</v>
      </c>
      <c r="AH79" s="100">
        <f>AH75</f>
        <v>8006792.9100000001</v>
      </c>
    </row>
    <row r="80" spans="1:43" ht="20.25" x14ac:dyDescent="0.25">
      <c r="AH80" s="100">
        <f>AH79-AG79</f>
        <v>-18393636.969999999</v>
      </c>
    </row>
    <row r="88" spans="36:36" x14ac:dyDescent="0.25">
      <c r="AJ88" t="s">
        <v>734</v>
      </c>
    </row>
  </sheetData>
  <autoFilter ref="A1:AK76" xr:uid="{00000000-0001-0000-0000-000000000000}"/>
  <phoneticPr fontId="4" type="noConversion"/>
  <pageMargins left="0.7" right="0.7" top="0.75" bottom="0.75" header="0.3" footer="0.3"/>
  <pageSetup paperSize="8" scale="2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DBB9-7503-42AB-8AD8-ABD106B0AF40}">
  <sheetPr>
    <pageSetUpPr fitToPage="1"/>
  </sheetPr>
  <dimension ref="A1:BT76"/>
  <sheetViews>
    <sheetView zoomScale="40" zoomScaleNormal="40" workbookViewId="0">
      <pane xSplit="7" ySplit="1" topLeftCell="H38" activePane="bottomRight" state="frozen"/>
      <selection pane="topRight" activeCell="H1" sqref="H1"/>
      <selection pane="bottomLeft" activeCell="A2" sqref="A2"/>
      <selection pane="bottomRight"/>
    </sheetView>
  </sheetViews>
  <sheetFormatPr defaultRowHeight="15" x14ac:dyDescent="0.25"/>
  <cols>
    <col min="1" max="1" width="35.42578125" customWidth="1"/>
    <col min="2" max="2" width="23.42578125" customWidth="1"/>
    <col min="3" max="3" width="50.28515625" customWidth="1"/>
    <col min="4" max="4" width="55.42578125" customWidth="1"/>
    <col min="5" max="5" width="36.85546875" customWidth="1"/>
    <col min="6" max="6" width="42.42578125" customWidth="1"/>
    <col min="7" max="7" width="23.140625" customWidth="1"/>
    <col min="8" max="8" width="29.28515625" customWidth="1"/>
    <col min="9" max="9" width="24" customWidth="1"/>
    <col min="10" max="10" width="134.140625" customWidth="1"/>
    <col min="11" max="11" width="108.42578125" customWidth="1"/>
    <col min="12" max="12" width="22.7109375" customWidth="1"/>
    <col min="13" max="13" width="17.85546875" customWidth="1"/>
    <col min="14" max="14" width="25.42578125" customWidth="1"/>
    <col min="15" max="15" width="23.7109375" customWidth="1"/>
    <col min="16" max="16" width="24.28515625" customWidth="1"/>
    <col min="17" max="17" width="18.42578125" customWidth="1"/>
    <col min="18" max="18" width="21.7109375" customWidth="1"/>
    <col min="19" max="19" width="19.5703125" customWidth="1"/>
    <col min="20" max="20" width="24.5703125" customWidth="1"/>
    <col min="21" max="21" width="30.140625" customWidth="1"/>
    <col min="22" max="22" width="30.42578125" customWidth="1"/>
    <col min="23" max="23" width="25.5703125" customWidth="1"/>
    <col min="24" max="27" width="22" customWidth="1"/>
    <col min="28" max="28" width="21.42578125" customWidth="1"/>
    <col min="29" max="29" width="24.85546875" customWidth="1"/>
    <col min="30" max="30" width="27.42578125" customWidth="1"/>
    <col min="31" max="31" width="35" customWidth="1"/>
    <col min="32" max="32" width="26.85546875" customWidth="1"/>
    <col min="33" max="33" width="24.28515625" customWidth="1"/>
    <col min="34" max="35" width="25.42578125" customWidth="1"/>
    <col min="36" max="36" width="22.85546875" customWidth="1"/>
    <col min="37" max="38" width="17.5703125" customWidth="1"/>
  </cols>
  <sheetData>
    <row r="1" spans="1:72" ht="60.75" x14ac:dyDescent="0.25">
      <c r="A1" s="118" t="s">
        <v>14</v>
      </c>
      <c r="B1" s="118" t="s">
        <v>529</v>
      </c>
      <c r="C1" s="119" t="s">
        <v>491</v>
      </c>
      <c r="D1" s="120" t="s">
        <v>468</v>
      </c>
      <c r="E1" s="118" t="s">
        <v>12</v>
      </c>
      <c r="F1" s="119" t="s">
        <v>11</v>
      </c>
      <c r="G1" s="118" t="s">
        <v>10</v>
      </c>
      <c r="H1" s="118" t="s">
        <v>587</v>
      </c>
      <c r="I1" s="118" t="s">
        <v>588</v>
      </c>
      <c r="J1" s="99" t="s">
        <v>9</v>
      </c>
      <c r="K1" s="121" t="s">
        <v>13</v>
      </c>
      <c r="L1" s="94" t="s">
        <v>720</v>
      </c>
      <c r="M1" s="94" t="s">
        <v>454</v>
      </c>
      <c r="N1" s="95" t="s">
        <v>458</v>
      </c>
      <c r="O1" s="95" t="s">
        <v>459</v>
      </c>
      <c r="P1" s="96" t="s">
        <v>460</v>
      </c>
      <c r="Q1" s="96" t="s">
        <v>461</v>
      </c>
      <c r="R1" s="97" t="s">
        <v>462</v>
      </c>
      <c r="S1" s="97" t="s">
        <v>463</v>
      </c>
      <c r="T1" s="98" t="s">
        <v>464</v>
      </c>
      <c r="U1" s="98" t="s">
        <v>465</v>
      </c>
      <c r="V1" s="101" t="s">
        <v>478</v>
      </c>
      <c r="W1" s="101" t="s">
        <v>479</v>
      </c>
      <c r="X1" s="101" t="s">
        <v>747</v>
      </c>
      <c r="Y1" s="101" t="s">
        <v>748</v>
      </c>
      <c r="Z1" s="101" t="s">
        <v>837</v>
      </c>
      <c r="AA1" s="101" t="s">
        <v>922</v>
      </c>
      <c r="AB1" s="102" t="s">
        <v>480</v>
      </c>
      <c r="AC1" s="103" t="s">
        <v>481</v>
      </c>
      <c r="AD1" s="103" t="s">
        <v>581</v>
      </c>
      <c r="AE1" s="94" t="s">
        <v>561</v>
      </c>
      <c r="AF1" s="94" t="s">
        <v>562</v>
      </c>
      <c r="AG1" s="95" t="s">
        <v>582</v>
      </c>
      <c r="AH1" s="96" t="s">
        <v>583</v>
      </c>
      <c r="AI1" s="97" t="s">
        <v>584</v>
      </c>
      <c r="AJ1" s="98" t="s">
        <v>585</v>
      </c>
      <c r="AK1" s="101" t="s">
        <v>586</v>
      </c>
      <c r="AL1" s="101" t="s">
        <v>767</v>
      </c>
    </row>
    <row r="2" spans="1:72" ht="66" customHeight="1" x14ac:dyDescent="0.25">
      <c r="A2" s="113" t="s">
        <v>5</v>
      </c>
      <c r="B2" s="113" t="s">
        <v>473</v>
      </c>
      <c r="C2" s="114" t="s">
        <v>477</v>
      </c>
      <c r="D2" s="107" t="s">
        <v>469</v>
      </c>
      <c r="E2" s="109" t="s">
        <v>456</v>
      </c>
      <c r="F2" s="114" t="s">
        <v>6</v>
      </c>
      <c r="G2" s="113" t="s">
        <v>7</v>
      </c>
      <c r="H2" s="132">
        <v>45575</v>
      </c>
      <c r="I2" s="132">
        <v>45590</v>
      </c>
      <c r="J2" s="122" t="s">
        <v>8</v>
      </c>
      <c r="K2" s="123" t="s">
        <v>533</v>
      </c>
      <c r="L2" s="100">
        <v>0</v>
      </c>
      <c r="M2" s="100" t="s">
        <v>466</v>
      </c>
      <c r="N2" s="100">
        <v>0</v>
      </c>
      <c r="O2" s="100" t="s">
        <v>466</v>
      </c>
      <c r="P2" s="100">
        <v>0</v>
      </c>
      <c r="Q2" s="100" t="s">
        <v>467</v>
      </c>
      <c r="R2" s="100">
        <v>0</v>
      </c>
      <c r="S2" s="100" t="s">
        <v>467</v>
      </c>
      <c r="T2" s="100">
        <v>0</v>
      </c>
      <c r="U2" s="100" t="s">
        <v>466</v>
      </c>
      <c r="V2" s="100">
        <v>0</v>
      </c>
      <c r="W2" s="100" t="s">
        <v>466</v>
      </c>
      <c r="X2" s="100">
        <v>0</v>
      </c>
      <c r="Y2" s="100" t="s">
        <v>466</v>
      </c>
      <c r="Z2" s="100"/>
      <c r="AA2" s="100"/>
      <c r="AB2" s="100">
        <v>0</v>
      </c>
      <c r="AC2" s="100">
        <f t="shared" ref="AC2:AC33" si="0">SUMIF(L2:W2,"&lt;0")</f>
        <v>0</v>
      </c>
      <c r="AD2" s="141">
        <f t="shared" ref="AD2:AD39" si="1">SUM(AE2:AK2)</f>
        <v>33478.26</v>
      </c>
      <c r="AE2" s="100">
        <v>0</v>
      </c>
      <c r="AF2" s="100">
        <v>33478.26</v>
      </c>
      <c r="AG2" s="100">
        <v>0</v>
      </c>
      <c r="AH2" s="100">
        <v>0</v>
      </c>
      <c r="AI2" s="100">
        <v>0</v>
      </c>
      <c r="AJ2" s="100">
        <v>0</v>
      </c>
      <c r="AK2" s="100">
        <v>0</v>
      </c>
      <c r="AL2" s="100">
        <v>0</v>
      </c>
    </row>
    <row r="3" spans="1:72" ht="88.5" customHeight="1" x14ac:dyDescent="0.25">
      <c r="A3" s="113" t="s">
        <v>5</v>
      </c>
      <c r="B3" s="113" t="s">
        <v>474</v>
      </c>
      <c r="C3" s="114" t="s">
        <v>534</v>
      </c>
      <c r="D3" s="107" t="s">
        <v>470</v>
      </c>
      <c r="E3" s="115" t="s">
        <v>538</v>
      </c>
      <c r="F3" s="129" t="s">
        <v>15</v>
      </c>
      <c r="G3" s="108" t="s">
        <v>556</v>
      </c>
      <c r="H3" s="134">
        <v>45579</v>
      </c>
      <c r="I3" s="134">
        <v>45602</v>
      </c>
      <c r="J3" s="104" t="s">
        <v>482</v>
      </c>
      <c r="K3" s="116" t="s">
        <v>535</v>
      </c>
      <c r="L3" s="100">
        <v>10276.24</v>
      </c>
      <c r="M3" s="100" t="s">
        <v>455</v>
      </c>
      <c r="N3" s="100">
        <v>10276.23</v>
      </c>
      <c r="O3" s="100" t="s">
        <v>455</v>
      </c>
      <c r="P3" s="100">
        <v>9281.76</v>
      </c>
      <c r="Q3" s="100" t="s">
        <v>455</v>
      </c>
      <c r="R3" s="100">
        <v>0</v>
      </c>
      <c r="S3" s="100" t="s">
        <v>467</v>
      </c>
      <c r="T3" s="100">
        <v>0</v>
      </c>
      <c r="U3" s="100" t="s">
        <v>466</v>
      </c>
      <c r="V3" s="100">
        <v>0</v>
      </c>
      <c r="W3" s="100" t="s">
        <v>466</v>
      </c>
      <c r="X3" s="100">
        <v>0</v>
      </c>
      <c r="Y3" s="100" t="s">
        <v>466</v>
      </c>
      <c r="Z3" s="100"/>
      <c r="AA3" s="100"/>
      <c r="AB3" s="100">
        <v>0</v>
      </c>
      <c r="AC3" s="100">
        <f t="shared" si="0"/>
        <v>0</v>
      </c>
      <c r="AD3" s="141">
        <f t="shared" si="1"/>
        <v>68527.77</v>
      </c>
      <c r="AE3" s="100">
        <v>48969.78</v>
      </c>
      <c r="AF3" s="100">
        <v>9281.76</v>
      </c>
      <c r="AG3" s="100">
        <v>0</v>
      </c>
      <c r="AH3" s="100">
        <v>10276.23</v>
      </c>
      <c r="AI3" s="100">
        <v>0</v>
      </c>
      <c r="AJ3" s="100">
        <v>0</v>
      </c>
      <c r="AK3" s="100">
        <v>0</v>
      </c>
      <c r="AL3" s="100">
        <v>0</v>
      </c>
    </row>
    <row r="4" spans="1:72" ht="20.25" x14ac:dyDescent="0.25">
      <c r="A4" s="115" t="s">
        <v>19</v>
      </c>
      <c r="B4" s="113" t="s">
        <v>473</v>
      </c>
      <c r="C4" s="114" t="s">
        <v>492</v>
      </c>
      <c r="D4" s="107" t="s">
        <v>472</v>
      </c>
      <c r="E4" s="115" t="s">
        <v>25</v>
      </c>
      <c r="F4" s="129" t="s">
        <v>23</v>
      </c>
      <c r="G4" s="111" t="s">
        <v>20</v>
      </c>
      <c r="H4" s="131">
        <v>45485</v>
      </c>
      <c r="I4" s="131">
        <v>45505</v>
      </c>
      <c r="J4" s="105" t="s">
        <v>291</v>
      </c>
      <c r="K4" s="116" t="s">
        <v>537</v>
      </c>
      <c r="L4" s="100">
        <v>54000</v>
      </c>
      <c r="M4" s="100" t="s">
        <v>455</v>
      </c>
      <c r="N4" s="100">
        <v>54000</v>
      </c>
      <c r="O4" s="100" t="s">
        <v>455</v>
      </c>
      <c r="P4" s="100">
        <v>54000</v>
      </c>
      <c r="Q4" s="100" t="s">
        <v>455</v>
      </c>
      <c r="R4" s="100">
        <v>0</v>
      </c>
      <c r="S4" s="100" t="s">
        <v>466</v>
      </c>
      <c r="T4" s="100">
        <v>0</v>
      </c>
      <c r="U4" s="100" t="s">
        <v>466</v>
      </c>
      <c r="V4" s="100">
        <v>0</v>
      </c>
      <c r="W4" s="100" t="s">
        <v>466</v>
      </c>
      <c r="X4" s="100">
        <v>0</v>
      </c>
      <c r="Y4" s="100" t="s">
        <v>466</v>
      </c>
      <c r="Z4" s="100"/>
      <c r="AA4" s="100"/>
      <c r="AB4" s="100">
        <v>0</v>
      </c>
      <c r="AC4" s="100">
        <f t="shared" si="0"/>
        <v>0</v>
      </c>
      <c r="AD4" s="141">
        <f t="shared" si="1"/>
        <v>540000</v>
      </c>
      <c r="AE4" s="100">
        <f>SUMIF(N4:AC4,"&lt;0")</f>
        <v>0</v>
      </c>
      <c r="AF4" s="100">
        <v>0</v>
      </c>
      <c r="AG4" s="100">
        <v>0</v>
      </c>
      <c r="AH4" s="100">
        <v>0</v>
      </c>
      <c r="AI4" s="100">
        <v>0</v>
      </c>
      <c r="AJ4" s="100">
        <v>540000</v>
      </c>
      <c r="AK4" s="100">
        <v>0</v>
      </c>
      <c r="AL4" s="100">
        <v>0</v>
      </c>
    </row>
    <row r="5" spans="1:72" ht="20.25" x14ac:dyDescent="0.25">
      <c r="A5" s="115" t="s">
        <v>19</v>
      </c>
      <c r="B5" s="113" t="s">
        <v>473</v>
      </c>
      <c r="C5" s="114" t="s">
        <v>492</v>
      </c>
      <c r="D5" s="107" t="s">
        <v>472</v>
      </c>
      <c r="E5" s="115" t="s">
        <v>25</v>
      </c>
      <c r="F5" s="129" t="s">
        <v>23</v>
      </c>
      <c r="G5" s="111" t="s">
        <v>20</v>
      </c>
      <c r="H5" s="131">
        <v>45485</v>
      </c>
      <c r="I5" s="131">
        <v>45505</v>
      </c>
      <c r="J5" s="105" t="s">
        <v>292</v>
      </c>
      <c r="K5" s="116" t="s">
        <v>537</v>
      </c>
      <c r="L5" s="100">
        <v>16000</v>
      </c>
      <c r="M5" s="100" t="s">
        <v>455</v>
      </c>
      <c r="N5" s="100">
        <v>16000</v>
      </c>
      <c r="O5" s="100" t="s">
        <v>455</v>
      </c>
      <c r="P5" s="100">
        <v>16000</v>
      </c>
      <c r="Q5" s="100" t="s">
        <v>455</v>
      </c>
      <c r="R5" s="100">
        <v>0</v>
      </c>
      <c r="S5" s="100" t="s">
        <v>466</v>
      </c>
      <c r="T5" s="100">
        <v>0</v>
      </c>
      <c r="U5" s="100" t="s">
        <v>466</v>
      </c>
      <c r="V5" s="100">
        <v>0</v>
      </c>
      <c r="W5" s="100" t="s">
        <v>466</v>
      </c>
      <c r="X5" s="100">
        <v>0</v>
      </c>
      <c r="Y5" s="100" t="s">
        <v>466</v>
      </c>
      <c r="Z5" s="100"/>
      <c r="AA5" s="100"/>
      <c r="AB5" s="100">
        <v>0</v>
      </c>
      <c r="AC5" s="100">
        <f t="shared" si="0"/>
        <v>0</v>
      </c>
      <c r="AD5" s="141">
        <f t="shared" si="1"/>
        <v>150000</v>
      </c>
      <c r="AE5" s="100">
        <f>SUMIF(N5:AC5,"&lt;0")</f>
        <v>0</v>
      </c>
      <c r="AF5" s="100">
        <v>0</v>
      </c>
      <c r="AG5" s="100">
        <v>0</v>
      </c>
      <c r="AH5" s="100">
        <v>0</v>
      </c>
      <c r="AI5" s="100">
        <v>0</v>
      </c>
      <c r="AJ5" s="100">
        <v>150000</v>
      </c>
      <c r="AK5" s="100">
        <v>0</v>
      </c>
      <c r="AL5" s="100">
        <v>0</v>
      </c>
    </row>
    <row r="6" spans="1:72" ht="21" x14ac:dyDescent="0.25">
      <c r="A6" s="115" t="s">
        <v>21</v>
      </c>
      <c r="B6" s="113" t="s">
        <v>473</v>
      </c>
      <c r="C6" s="114" t="s">
        <v>493</v>
      </c>
      <c r="D6" s="107" t="s">
        <v>506</v>
      </c>
      <c r="E6" s="109" t="s">
        <v>456</v>
      </c>
      <c r="F6" s="129" t="s">
        <v>22</v>
      </c>
      <c r="G6" s="124" t="s">
        <v>24</v>
      </c>
      <c r="H6" s="135">
        <v>45517</v>
      </c>
      <c r="I6" s="135">
        <v>45525</v>
      </c>
      <c r="J6" s="105" t="s">
        <v>64</v>
      </c>
      <c r="K6" s="117" t="s">
        <v>457</v>
      </c>
      <c r="L6" s="100">
        <v>20666.669999999998</v>
      </c>
      <c r="M6" s="100" t="s">
        <v>455</v>
      </c>
      <c r="N6" s="100">
        <v>10666.67</v>
      </c>
      <c r="O6" s="100" t="s">
        <v>455</v>
      </c>
      <c r="P6" s="100">
        <v>0</v>
      </c>
      <c r="Q6" s="100" t="s">
        <v>466</v>
      </c>
      <c r="R6" s="100">
        <v>0</v>
      </c>
      <c r="S6" s="100" t="s">
        <v>466</v>
      </c>
      <c r="T6" s="100">
        <v>0</v>
      </c>
      <c r="U6" s="100" t="s">
        <v>466</v>
      </c>
      <c r="V6" s="100">
        <v>0</v>
      </c>
      <c r="W6" s="100" t="s">
        <v>466</v>
      </c>
      <c r="X6" s="100">
        <v>0</v>
      </c>
      <c r="Y6" s="100" t="s">
        <v>466</v>
      </c>
      <c r="Z6" s="100"/>
      <c r="AA6" s="100"/>
      <c r="AB6" s="100">
        <v>0</v>
      </c>
      <c r="AC6" s="100">
        <f t="shared" si="0"/>
        <v>0</v>
      </c>
      <c r="AD6" s="141">
        <f t="shared" si="1"/>
        <v>69000</v>
      </c>
      <c r="AE6" s="100">
        <v>0</v>
      </c>
      <c r="AF6" s="100">
        <v>0</v>
      </c>
      <c r="AG6" s="100">
        <v>0</v>
      </c>
      <c r="AH6" s="100">
        <v>0</v>
      </c>
      <c r="AI6" s="100">
        <v>0</v>
      </c>
      <c r="AJ6" s="100">
        <v>69000</v>
      </c>
      <c r="AK6" s="100">
        <v>0</v>
      </c>
      <c r="AL6" s="100">
        <v>0</v>
      </c>
    </row>
    <row r="7" spans="1:72" ht="21" x14ac:dyDescent="0.25">
      <c r="A7" s="115" t="s">
        <v>21</v>
      </c>
      <c r="B7" s="113" t="s">
        <v>473</v>
      </c>
      <c r="C7" s="114" t="s">
        <v>493</v>
      </c>
      <c r="D7" s="107" t="s">
        <v>506</v>
      </c>
      <c r="E7" s="109" t="s">
        <v>456</v>
      </c>
      <c r="F7" s="129" t="s">
        <v>22</v>
      </c>
      <c r="G7" s="124" t="s">
        <v>24</v>
      </c>
      <c r="H7" s="135">
        <v>45517</v>
      </c>
      <c r="I7" s="135">
        <v>45525</v>
      </c>
      <c r="J7" s="104" t="s">
        <v>483</v>
      </c>
      <c r="K7" s="117" t="s">
        <v>457</v>
      </c>
      <c r="L7" s="100">
        <v>10333.33</v>
      </c>
      <c r="M7" s="100" t="s">
        <v>455</v>
      </c>
      <c r="N7" s="100">
        <v>5333.33</v>
      </c>
      <c r="O7" s="100" t="s">
        <v>455</v>
      </c>
      <c r="P7" s="100">
        <v>0</v>
      </c>
      <c r="Q7" s="100" t="s">
        <v>466</v>
      </c>
      <c r="R7" s="100">
        <v>0</v>
      </c>
      <c r="S7" s="100" t="s">
        <v>466</v>
      </c>
      <c r="T7" s="100">
        <v>0</v>
      </c>
      <c r="U7" s="100" t="s">
        <v>466</v>
      </c>
      <c r="V7" s="100">
        <v>0</v>
      </c>
      <c r="W7" s="100" t="s">
        <v>466</v>
      </c>
      <c r="X7" s="100">
        <v>0</v>
      </c>
      <c r="Y7" s="100" t="s">
        <v>466</v>
      </c>
      <c r="Z7" s="100"/>
      <c r="AA7" s="100"/>
      <c r="AB7" s="100">
        <v>0</v>
      </c>
      <c r="AC7" s="100">
        <f t="shared" si="0"/>
        <v>0</v>
      </c>
      <c r="AD7" s="141">
        <f t="shared" si="1"/>
        <v>69000</v>
      </c>
      <c r="AE7" s="100">
        <v>0</v>
      </c>
      <c r="AF7" s="100">
        <v>0</v>
      </c>
      <c r="AG7" s="100">
        <v>0</v>
      </c>
      <c r="AH7" s="100">
        <v>0</v>
      </c>
      <c r="AI7" s="100">
        <v>0</v>
      </c>
      <c r="AJ7" s="100">
        <v>69000</v>
      </c>
      <c r="AK7" s="100">
        <v>0</v>
      </c>
      <c r="AL7" s="100">
        <v>0</v>
      </c>
    </row>
    <row r="8" spans="1:72" ht="21" x14ac:dyDescent="0.25">
      <c r="A8" s="115" t="s">
        <v>21</v>
      </c>
      <c r="B8" s="113" t="s">
        <v>473</v>
      </c>
      <c r="C8" s="114" t="s">
        <v>493</v>
      </c>
      <c r="D8" s="107" t="s">
        <v>506</v>
      </c>
      <c r="E8" s="109" t="s">
        <v>456</v>
      </c>
      <c r="F8" s="129" t="s">
        <v>22</v>
      </c>
      <c r="G8" s="124" t="s">
        <v>24</v>
      </c>
      <c r="H8" s="135">
        <v>45517</v>
      </c>
      <c r="I8" s="135">
        <v>45525</v>
      </c>
      <c r="J8" s="105" t="s">
        <v>65</v>
      </c>
      <c r="K8" s="117" t="s">
        <v>457</v>
      </c>
      <c r="L8" s="100">
        <v>15500</v>
      </c>
      <c r="M8" s="100" t="s">
        <v>455</v>
      </c>
      <c r="N8" s="100">
        <v>8000</v>
      </c>
      <c r="O8" s="100" t="s">
        <v>455</v>
      </c>
      <c r="P8" s="100">
        <v>0</v>
      </c>
      <c r="Q8" s="100" t="s">
        <v>466</v>
      </c>
      <c r="R8" s="100">
        <v>0</v>
      </c>
      <c r="S8" s="100" t="s">
        <v>466</v>
      </c>
      <c r="T8" s="100">
        <v>0</v>
      </c>
      <c r="U8" s="100" t="s">
        <v>466</v>
      </c>
      <c r="V8" s="100">
        <v>0</v>
      </c>
      <c r="W8" s="100" t="s">
        <v>466</v>
      </c>
      <c r="X8" s="100">
        <v>0</v>
      </c>
      <c r="Y8" s="100" t="s">
        <v>466</v>
      </c>
      <c r="Z8" s="100"/>
      <c r="AA8" s="100"/>
      <c r="AB8" s="100">
        <v>0</v>
      </c>
      <c r="AC8" s="100">
        <f t="shared" si="0"/>
        <v>0</v>
      </c>
      <c r="AD8" s="141">
        <f t="shared" si="1"/>
        <v>69000</v>
      </c>
      <c r="AE8" s="100">
        <v>0</v>
      </c>
      <c r="AF8" s="100">
        <v>0</v>
      </c>
      <c r="AG8" s="100">
        <v>0</v>
      </c>
      <c r="AH8" s="100">
        <v>0</v>
      </c>
      <c r="AI8" s="100">
        <v>0</v>
      </c>
      <c r="AJ8" s="100">
        <v>69000</v>
      </c>
      <c r="AK8" s="100">
        <v>0</v>
      </c>
      <c r="AL8" s="100">
        <v>0</v>
      </c>
    </row>
    <row r="9" spans="1:72" ht="20.25" x14ac:dyDescent="0.25">
      <c r="A9" s="113" t="s">
        <v>5</v>
      </c>
      <c r="B9" s="113" t="s">
        <v>473</v>
      </c>
      <c r="C9" s="114" t="s">
        <v>497</v>
      </c>
      <c r="D9" s="107" t="s">
        <v>498</v>
      </c>
      <c r="E9" s="113" t="s">
        <v>543</v>
      </c>
      <c r="F9" s="129" t="s">
        <v>22</v>
      </c>
      <c r="G9" s="111" t="s">
        <v>29</v>
      </c>
      <c r="H9" s="131">
        <v>45609</v>
      </c>
      <c r="I9" s="131">
        <v>45609</v>
      </c>
      <c r="J9" s="105" t="s">
        <v>66</v>
      </c>
      <c r="K9" s="116" t="s">
        <v>542</v>
      </c>
      <c r="L9" s="100" t="s">
        <v>557</v>
      </c>
      <c r="M9" s="100" t="s">
        <v>455</v>
      </c>
      <c r="N9" s="100" t="s">
        <v>558</v>
      </c>
      <c r="O9" s="100" t="s">
        <v>455</v>
      </c>
      <c r="P9" s="100">
        <v>0</v>
      </c>
      <c r="Q9" s="100" t="s">
        <v>466</v>
      </c>
      <c r="R9" s="100">
        <v>0</v>
      </c>
      <c r="S9" s="100" t="s">
        <v>466</v>
      </c>
      <c r="T9" s="100">
        <v>0</v>
      </c>
      <c r="U9" s="100" t="s">
        <v>466</v>
      </c>
      <c r="V9" s="100">
        <v>0</v>
      </c>
      <c r="W9" s="100" t="s">
        <v>466</v>
      </c>
      <c r="X9" s="100">
        <v>0</v>
      </c>
      <c r="Y9" s="100" t="s">
        <v>466</v>
      </c>
      <c r="Z9" s="100"/>
      <c r="AA9" s="100"/>
      <c r="AB9" s="100">
        <v>0</v>
      </c>
      <c r="AC9" s="100">
        <f t="shared" si="0"/>
        <v>0</v>
      </c>
      <c r="AD9" s="141">
        <f t="shared" si="1"/>
        <v>61333.34</v>
      </c>
      <c r="AE9" s="100">
        <v>0</v>
      </c>
      <c r="AF9" s="100">
        <v>0</v>
      </c>
      <c r="AG9" s="100">
        <v>0</v>
      </c>
      <c r="AH9" s="100">
        <v>0</v>
      </c>
      <c r="AI9" s="100">
        <v>0</v>
      </c>
      <c r="AJ9" s="100">
        <v>61333.34</v>
      </c>
      <c r="AK9" s="100">
        <v>0</v>
      </c>
      <c r="AL9" s="100">
        <v>0</v>
      </c>
    </row>
    <row r="10" spans="1:72" ht="20.25" x14ac:dyDescent="0.25">
      <c r="A10" s="113" t="s">
        <v>19</v>
      </c>
      <c r="B10" s="113" t="s">
        <v>473</v>
      </c>
      <c r="C10" s="114" t="s">
        <v>500</v>
      </c>
      <c r="D10" s="125" t="s">
        <v>501</v>
      </c>
      <c r="E10" s="113" t="s">
        <v>545</v>
      </c>
      <c r="F10" s="129" t="s">
        <v>35</v>
      </c>
      <c r="G10" s="111" t="s">
        <v>31</v>
      </c>
      <c r="H10" s="131">
        <v>45566</v>
      </c>
      <c r="I10" s="131">
        <v>45627</v>
      </c>
      <c r="J10" s="105" t="s">
        <v>300</v>
      </c>
      <c r="K10" s="116" t="s">
        <v>502</v>
      </c>
      <c r="L10" s="100">
        <v>130000</v>
      </c>
      <c r="M10" s="100" t="s">
        <v>455</v>
      </c>
      <c r="N10" s="100">
        <v>130000</v>
      </c>
      <c r="O10" s="100" t="s">
        <v>455</v>
      </c>
      <c r="P10" s="100">
        <v>0</v>
      </c>
      <c r="Q10" s="100" t="s">
        <v>466</v>
      </c>
      <c r="R10" s="100">
        <v>0</v>
      </c>
      <c r="S10" s="100" t="s">
        <v>466</v>
      </c>
      <c r="T10" s="100">
        <v>0</v>
      </c>
      <c r="U10" s="100" t="s">
        <v>466</v>
      </c>
      <c r="V10" s="100">
        <v>0</v>
      </c>
      <c r="W10" s="100" t="s">
        <v>466</v>
      </c>
      <c r="X10" s="100">
        <v>0</v>
      </c>
      <c r="Y10" s="100" t="s">
        <v>466</v>
      </c>
      <c r="Z10" s="100"/>
      <c r="AA10" s="100"/>
      <c r="AB10" s="100">
        <v>0</v>
      </c>
      <c r="AC10" s="100">
        <f t="shared" si="0"/>
        <v>0</v>
      </c>
      <c r="AD10" s="141">
        <f t="shared" si="1"/>
        <v>390000</v>
      </c>
      <c r="AE10" s="100">
        <v>130000</v>
      </c>
      <c r="AF10" s="100">
        <v>130000</v>
      </c>
      <c r="AG10" s="100">
        <v>130000</v>
      </c>
      <c r="AH10" s="100">
        <v>0</v>
      </c>
      <c r="AI10" s="100">
        <v>0</v>
      </c>
      <c r="AJ10" s="100">
        <v>0</v>
      </c>
      <c r="AK10" s="100">
        <v>0</v>
      </c>
      <c r="AL10" s="100">
        <v>0</v>
      </c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</row>
    <row r="11" spans="1:72" ht="20.25" x14ac:dyDescent="0.25">
      <c r="A11" s="113" t="s">
        <v>19</v>
      </c>
      <c r="B11" s="113" t="s">
        <v>473</v>
      </c>
      <c r="C11" s="114" t="s">
        <v>500</v>
      </c>
      <c r="D11" s="125" t="s">
        <v>501</v>
      </c>
      <c r="E11" s="113" t="s">
        <v>545</v>
      </c>
      <c r="F11" s="129" t="s">
        <v>35</v>
      </c>
      <c r="G11" s="111" t="s">
        <v>31</v>
      </c>
      <c r="H11" s="131">
        <v>45566</v>
      </c>
      <c r="I11" s="131">
        <v>45627</v>
      </c>
      <c r="J11" s="105" t="s">
        <v>301</v>
      </c>
      <c r="K11" s="116" t="s">
        <v>502</v>
      </c>
      <c r="L11" s="100">
        <v>110000</v>
      </c>
      <c r="M11" s="100" t="s">
        <v>455</v>
      </c>
      <c r="N11" s="100">
        <v>110000</v>
      </c>
      <c r="O11" s="100" t="s">
        <v>455</v>
      </c>
      <c r="P11" s="100">
        <v>0</v>
      </c>
      <c r="Q11" s="100" t="s">
        <v>466</v>
      </c>
      <c r="R11" s="100">
        <v>0</v>
      </c>
      <c r="S11" s="100" t="s">
        <v>466</v>
      </c>
      <c r="T11" s="100">
        <v>0</v>
      </c>
      <c r="U11" s="100" t="s">
        <v>466</v>
      </c>
      <c r="V11" s="100">
        <v>0</v>
      </c>
      <c r="W11" s="100" t="s">
        <v>466</v>
      </c>
      <c r="X11" s="100">
        <v>0</v>
      </c>
      <c r="Y11" s="100" t="s">
        <v>466</v>
      </c>
      <c r="Z11" s="100"/>
      <c r="AA11" s="100"/>
      <c r="AB11" s="100">
        <v>0</v>
      </c>
      <c r="AC11" s="100">
        <f t="shared" si="0"/>
        <v>0</v>
      </c>
      <c r="AD11" s="141">
        <f t="shared" si="1"/>
        <v>330000</v>
      </c>
      <c r="AE11" s="100">
        <v>110000</v>
      </c>
      <c r="AF11" s="100">
        <v>110000</v>
      </c>
      <c r="AG11" s="100">
        <v>110000</v>
      </c>
      <c r="AH11" s="100">
        <v>0</v>
      </c>
      <c r="AI11" s="100">
        <v>0</v>
      </c>
      <c r="AJ11" s="100">
        <v>0</v>
      </c>
      <c r="AK11" s="100">
        <v>0</v>
      </c>
      <c r="AL11" s="100">
        <v>0</v>
      </c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</row>
    <row r="12" spans="1:72" ht="20.25" x14ac:dyDescent="0.25">
      <c r="A12" s="113" t="s">
        <v>19</v>
      </c>
      <c r="B12" s="113" t="s">
        <v>473</v>
      </c>
      <c r="C12" s="114" t="s">
        <v>500</v>
      </c>
      <c r="D12" s="125" t="s">
        <v>501</v>
      </c>
      <c r="E12" s="113" t="s">
        <v>543</v>
      </c>
      <c r="F12" s="129" t="s">
        <v>35</v>
      </c>
      <c r="G12" s="111" t="s">
        <v>31</v>
      </c>
      <c r="H12" s="131">
        <v>45566</v>
      </c>
      <c r="I12" s="131">
        <v>45627</v>
      </c>
      <c r="J12" s="105" t="s">
        <v>302</v>
      </c>
      <c r="K12" s="116" t="s">
        <v>502</v>
      </c>
      <c r="L12" s="100">
        <v>200000</v>
      </c>
      <c r="M12" s="100" t="s">
        <v>455</v>
      </c>
      <c r="N12" s="100">
        <v>200000</v>
      </c>
      <c r="O12" s="100" t="s">
        <v>455</v>
      </c>
      <c r="P12" s="100">
        <v>0</v>
      </c>
      <c r="Q12" s="100" t="s">
        <v>466</v>
      </c>
      <c r="R12" s="100">
        <v>0</v>
      </c>
      <c r="S12" s="100" t="s">
        <v>466</v>
      </c>
      <c r="T12" s="100">
        <v>0</v>
      </c>
      <c r="U12" s="100" t="s">
        <v>466</v>
      </c>
      <c r="V12" s="100">
        <v>0</v>
      </c>
      <c r="W12" s="100" t="s">
        <v>466</v>
      </c>
      <c r="X12" s="100">
        <v>0</v>
      </c>
      <c r="Y12" s="100" t="s">
        <v>466</v>
      </c>
      <c r="Z12" s="100"/>
      <c r="AA12" s="100"/>
      <c r="AB12" s="100">
        <v>0</v>
      </c>
      <c r="AC12" s="100">
        <f t="shared" si="0"/>
        <v>0</v>
      </c>
      <c r="AD12" s="141">
        <f t="shared" si="1"/>
        <v>600000</v>
      </c>
      <c r="AE12" s="100">
        <v>200000</v>
      </c>
      <c r="AF12" s="100">
        <v>200000</v>
      </c>
      <c r="AG12" s="100">
        <v>200000</v>
      </c>
      <c r="AH12" s="100">
        <v>0</v>
      </c>
      <c r="AI12" s="100">
        <v>0</v>
      </c>
      <c r="AJ12" s="100">
        <v>0</v>
      </c>
      <c r="AK12" s="100">
        <v>0</v>
      </c>
      <c r="AL12" s="100">
        <v>0</v>
      </c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</row>
    <row r="13" spans="1:72" ht="20.25" x14ac:dyDescent="0.25">
      <c r="A13" s="113" t="s">
        <v>19</v>
      </c>
      <c r="B13" s="113" t="s">
        <v>473</v>
      </c>
      <c r="C13" s="114" t="s">
        <v>500</v>
      </c>
      <c r="D13" s="125" t="s">
        <v>501</v>
      </c>
      <c r="E13" s="113" t="s">
        <v>545</v>
      </c>
      <c r="F13" s="129" t="s">
        <v>35</v>
      </c>
      <c r="G13" s="111" t="s">
        <v>31</v>
      </c>
      <c r="H13" s="131">
        <v>45566</v>
      </c>
      <c r="I13" s="131">
        <v>45627</v>
      </c>
      <c r="J13" s="104" t="s">
        <v>303</v>
      </c>
      <c r="K13" s="116" t="s">
        <v>502</v>
      </c>
      <c r="L13" s="100">
        <v>120000</v>
      </c>
      <c r="M13" s="100" t="s">
        <v>455</v>
      </c>
      <c r="N13" s="100">
        <v>120000</v>
      </c>
      <c r="O13" s="100" t="s">
        <v>455</v>
      </c>
      <c r="P13" s="100">
        <v>120000</v>
      </c>
      <c r="Q13" s="100" t="s">
        <v>455</v>
      </c>
      <c r="R13" s="100">
        <v>120000</v>
      </c>
      <c r="S13" s="100" t="s">
        <v>455</v>
      </c>
      <c r="T13" s="100">
        <v>120000</v>
      </c>
      <c r="U13" s="100" t="s">
        <v>455</v>
      </c>
      <c r="V13" s="100">
        <v>0</v>
      </c>
      <c r="W13" s="100" t="s">
        <v>466</v>
      </c>
      <c r="X13" s="100">
        <v>0</v>
      </c>
      <c r="Y13" s="100" t="s">
        <v>466</v>
      </c>
      <c r="Z13" s="100"/>
      <c r="AA13" s="100"/>
      <c r="AB13" s="100">
        <v>0</v>
      </c>
      <c r="AC13" s="100">
        <f t="shared" si="0"/>
        <v>0</v>
      </c>
      <c r="AD13" s="141">
        <f t="shared" si="1"/>
        <v>720000</v>
      </c>
      <c r="AE13" s="100">
        <v>120000</v>
      </c>
      <c r="AF13" s="100">
        <v>120000</v>
      </c>
      <c r="AG13" s="100">
        <v>120000</v>
      </c>
      <c r="AH13" s="100">
        <v>120000</v>
      </c>
      <c r="AI13" s="100">
        <v>120000</v>
      </c>
      <c r="AJ13" s="100">
        <v>120000</v>
      </c>
      <c r="AK13" s="100">
        <v>0</v>
      </c>
      <c r="AL13" s="100">
        <v>0</v>
      </c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</row>
    <row r="14" spans="1:72" ht="20.25" x14ac:dyDescent="0.25">
      <c r="A14" s="113" t="s">
        <v>19</v>
      </c>
      <c r="B14" s="113" t="s">
        <v>473</v>
      </c>
      <c r="C14" s="114" t="s">
        <v>500</v>
      </c>
      <c r="D14" s="125" t="s">
        <v>501</v>
      </c>
      <c r="E14" s="113" t="s">
        <v>545</v>
      </c>
      <c r="F14" s="129" t="s">
        <v>35</v>
      </c>
      <c r="G14" s="111" t="s">
        <v>31</v>
      </c>
      <c r="H14" s="131">
        <v>45566</v>
      </c>
      <c r="I14" s="131">
        <v>45627</v>
      </c>
      <c r="J14" s="105" t="s">
        <v>560</v>
      </c>
      <c r="K14" s="116" t="s">
        <v>502</v>
      </c>
      <c r="L14" s="100">
        <v>300000</v>
      </c>
      <c r="M14" s="100" t="s">
        <v>455</v>
      </c>
      <c r="N14" s="100">
        <v>300000</v>
      </c>
      <c r="O14" s="100" t="s">
        <v>455</v>
      </c>
      <c r="P14" s="100">
        <v>300000</v>
      </c>
      <c r="Q14" s="100" t="s">
        <v>455</v>
      </c>
      <c r="R14" s="100">
        <v>0</v>
      </c>
      <c r="S14" s="100" t="s">
        <v>466</v>
      </c>
      <c r="T14" s="100">
        <v>0</v>
      </c>
      <c r="U14" s="100" t="s">
        <v>466</v>
      </c>
      <c r="V14" s="100">
        <v>0</v>
      </c>
      <c r="W14" s="100" t="s">
        <v>466</v>
      </c>
      <c r="X14" s="100">
        <v>0</v>
      </c>
      <c r="Y14" s="100" t="s">
        <v>466</v>
      </c>
      <c r="Z14" s="100"/>
      <c r="AA14" s="100"/>
      <c r="AB14" s="100">
        <v>0</v>
      </c>
      <c r="AC14" s="100">
        <f t="shared" si="0"/>
        <v>0</v>
      </c>
      <c r="AD14" s="141">
        <f t="shared" si="1"/>
        <v>1200000</v>
      </c>
      <c r="AE14" s="100">
        <v>300000</v>
      </c>
      <c r="AF14" s="100">
        <v>300000</v>
      </c>
      <c r="AG14" s="100">
        <v>300000</v>
      </c>
      <c r="AH14" s="100">
        <v>300000</v>
      </c>
      <c r="AI14" s="100">
        <v>0</v>
      </c>
      <c r="AJ14" s="100">
        <v>0</v>
      </c>
      <c r="AK14" s="100">
        <v>0</v>
      </c>
      <c r="AL14" s="100">
        <v>0</v>
      </c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</row>
    <row r="15" spans="1:72" ht="20.25" x14ac:dyDescent="0.25">
      <c r="A15" s="113" t="s">
        <v>19</v>
      </c>
      <c r="B15" s="113" t="s">
        <v>473</v>
      </c>
      <c r="C15" s="114" t="s">
        <v>500</v>
      </c>
      <c r="D15" s="125" t="s">
        <v>501</v>
      </c>
      <c r="E15" s="113" t="s">
        <v>543</v>
      </c>
      <c r="F15" s="129" t="s">
        <v>35</v>
      </c>
      <c r="G15" s="111" t="s">
        <v>31</v>
      </c>
      <c r="H15" s="131">
        <v>45566</v>
      </c>
      <c r="I15" s="131">
        <v>45717</v>
      </c>
      <c r="J15" s="104" t="s">
        <v>485</v>
      </c>
      <c r="K15" s="116" t="s">
        <v>502</v>
      </c>
      <c r="L15" s="100">
        <v>0</v>
      </c>
      <c r="M15" s="100" t="s">
        <v>466</v>
      </c>
      <c r="N15" s="100">
        <v>0</v>
      </c>
      <c r="O15" s="100" t="s">
        <v>466</v>
      </c>
      <c r="P15" s="100">
        <v>130000</v>
      </c>
      <c r="Q15" s="100" t="s">
        <v>455</v>
      </c>
      <c r="R15" s="100">
        <v>130000</v>
      </c>
      <c r="S15" s="100" t="s">
        <v>455</v>
      </c>
      <c r="T15" s="100">
        <v>130000</v>
      </c>
      <c r="U15" s="100" t="s">
        <v>455</v>
      </c>
      <c r="V15" s="100">
        <v>0</v>
      </c>
      <c r="W15" s="100" t="s">
        <v>466</v>
      </c>
      <c r="X15" s="100">
        <v>0</v>
      </c>
      <c r="Y15" s="100" t="s">
        <v>466</v>
      </c>
      <c r="Z15" s="100"/>
      <c r="AA15" s="100"/>
      <c r="AB15" s="100">
        <v>0</v>
      </c>
      <c r="AC15" s="100">
        <f t="shared" si="0"/>
        <v>0</v>
      </c>
      <c r="AD15" s="141">
        <f t="shared" si="1"/>
        <v>520000</v>
      </c>
      <c r="AE15" s="100">
        <v>130000</v>
      </c>
      <c r="AF15" s="100">
        <v>0</v>
      </c>
      <c r="AG15" s="100">
        <v>0</v>
      </c>
      <c r="AH15" s="100">
        <v>130000</v>
      </c>
      <c r="AI15" s="100">
        <v>130000</v>
      </c>
      <c r="AJ15" s="100">
        <v>130000</v>
      </c>
      <c r="AK15" s="100">
        <v>0</v>
      </c>
      <c r="AL15" s="100">
        <v>0</v>
      </c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</row>
    <row r="16" spans="1:72" ht="20.25" x14ac:dyDescent="0.25">
      <c r="A16" s="113" t="s">
        <v>19</v>
      </c>
      <c r="B16" s="113" t="s">
        <v>473</v>
      </c>
      <c r="C16" s="114" t="s">
        <v>500</v>
      </c>
      <c r="D16" s="125" t="s">
        <v>501</v>
      </c>
      <c r="E16" s="113" t="s">
        <v>545</v>
      </c>
      <c r="F16" s="129" t="s">
        <v>35</v>
      </c>
      <c r="G16" s="111" t="s">
        <v>31</v>
      </c>
      <c r="H16" s="131">
        <v>45566</v>
      </c>
      <c r="I16" s="131">
        <v>45717</v>
      </c>
      <c r="J16" s="104" t="s">
        <v>486</v>
      </c>
      <c r="K16" s="116" t="s">
        <v>502</v>
      </c>
      <c r="L16" s="100">
        <v>0</v>
      </c>
      <c r="M16" s="100" t="s">
        <v>466</v>
      </c>
      <c r="N16" s="100">
        <v>0</v>
      </c>
      <c r="O16" s="100" t="s">
        <v>466</v>
      </c>
      <c r="P16" s="100">
        <v>110000</v>
      </c>
      <c r="Q16" s="100" t="s">
        <v>455</v>
      </c>
      <c r="R16" s="100">
        <v>110000</v>
      </c>
      <c r="S16" s="100" t="s">
        <v>455</v>
      </c>
      <c r="T16" s="100">
        <v>110000</v>
      </c>
      <c r="U16" s="100" t="s">
        <v>455</v>
      </c>
      <c r="V16" s="100">
        <v>0</v>
      </c>
      <c r="W16" s="100" t="s">
        <v>466</v>
      </c>
      <c r="X16" s="100">
        <v>0</v>
      </c>
      <c r="Y16" s="100" t="s">
        <v>466</v>
      </c>
      <c r="Z16" s="100"/>
      <c r="AA16" s="100"/>
      <c r="AB16" s="100">
        <v>0</v>
      </c>
      <c r="AC16" s="100">
        <f t="shared" si="0"/>
        <v>0</v>
      </c>
      <c r="AD16" s="141">
        <f t="shared" si="1"/>
        <v>440000</v>
      </c>
      <c r="AE16" s="100">
        <v>110000</v>
      </c>
      <c r="AF16" s="100">
        <v>0</v>
      </c>
      <c r="AG16" s="100">
        <v>0</v>
      </c>
      <c r="AH16" s="100">
        <v>110000</v>
      </c>
      <c r="AI16" s="100">
        <v>110000</v>
      </c>
      <c r="AJ16" s="100">
        <v>110000</v>
      </c>
      <c r="AK16" s="100">
        <v>0</v>
      </c>
      <c r="AL16" s="100">
        <v>0</v>
      </c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</row>
    <row r="17" spans="1:72" ht="20.25" x14ac:dyDescent="0.25">
      <c r="A17" s="113" t="s">
        <v>19</v>
      </c>
      <c r="B17" s="113" t="s">
        <v>473</v>
      </c>
      <c r="C17" s="114" t="s">
        <v>500</v>
      </c>
      <c r="D17" s="125" t="s">
        <v>501</v>
      </c>
      <c r="E17" s="113" t="s">
        <v>545</v>
      </c>
      <c r="F17" s="129" t="s">
        <v>35</v>
      </c>
      <c r="G17" s="111" t="s">
        <v>31</v>
      </c>
      <c r="H17" s="131">
        <v>45566</v>
      </c>
      <c r="I17" s="131">
        <v>45717</v>
      </c>
      <c r="J17" s="104" t="s">
        <v>487</v>
      </c>
      <c r="K17" s="116" t="s">
        <v>502</v>
      </c>
      <c r="L17" s="100">
        <v>0</v>
      </c>
      <c r="M17" s="100" t="s">
        <v>466</v>
      </c>
      <c r="N17" s="100">
        <v>0</v>
      </c>
      <c r="O17" s="100" t="s">
        <v>466</v>
      </c>
      <c r="P17" s="100">
        <v>200000</v>
      </c>
      <c r="Q17" s="100" t="s">
        <v>455</v>
      </c>
      <c r="R17" s="100">
        <v>200000</v>
      </c>
      <c r="S17" s="100" t="s">
        <v>455</v>
      </c>
      <c r="T17" s="100">
        <v>200000</v>
      </c>
      <c r="U17" s="100" t="s">
        <v>455</v>
      </c>
      <c r="V17" s="100">
        <v>0</v>
      </c>
      <c r="W17" s="100" t="s">
        <v>466</v>
      </c>
      <c r="X17" s="100">
        <v>0</v>
      </c>
      <c r="Y17" s="100" t="s">
        <v>466</v>
      </c>
      <c r="Z17" s="100"/>
      <c r="AA17" s="100"/>
      <c r="AB17" s="100">
        <v>0</v>
      </c>
      <c r="AC17" s="100">
        <f t="shared" si="0"/>
        <v>0</v>
      </c>
      <c r="AD17" s="141">
        <f t="shared" si="1"/>
        <v>800000</v>
      </c>
      <c r="AE17" s="100">
        <v>200000</v>
      </c>
      <c r="AF17" s="100">
        <v>0</v>
      </c>
      <c r="AG17" s="100">
        <v>0</v>
      </c>
      <c r="AH17" s="100">
        <v>200000</v>
      </c>
      <c r="AI17" s="100">
        <v>200000</v>
      </c>
      <c r="AJ17" s="100">
        <v>200000</v>
      </c>
      <c r="AK17" s="100">
        <v>0</v>
      </c>
      <c r="AL17" s="100">
        <v>0</v>
      </c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</row>
    <row r="18" spans="1:72" ht="20.25" x14ac:dyDescent="0.25">
      <c r="A18" s="113" t="s">
        <v>19</v>
      </c>
      <c r="B18" s="113" t="s">
        <v>473</v>
      </c>
      <c r="C18" s="114" t="s">
        <v>500</v>
      </c>
      <c r="D18" s="125" t="s">
        <v>501</v>
      </c>
      <c r="E18" s="113" t="s">
        <v>543</v>
      </c>
      <c r="F18" s="129" t="s">
        <v>35</v>
      </c>
      <c r="G18" s="111" t="s">
        <v>31</v>
      </c>
      <c r="H18" s="131">
        <v>45566</v>
      </c>
      <c r="I18" s="131">
        <v>45717</v>
      </c>
      <c r="J18" s="104" t="s">
        <v>488</v>
      </c>
      <c r="K18" s="116" t="s">
        <v>502</v>
      </c>
      <c r="L18" s="100">
        <v>0</v>
      </c>
      <c r="M18" s="100" t="s">
        <v>466</v>
      </c>
      <c r="N18" s="100">
        <v>0</v>
      </c>
      <c r="O18" s="100" t="s">
        <v>466</v>
      </c>
      <c r="P18" s="100">
        <v>120000</v>
      </c>
      <c r="Q18" s="100" t="s">
        <v>455</v>
      </c>
      <c r="R18" s="100">
        <v>120000</v>
      </c>
      <c r="S18" s="100" t="s">
        <v>455</v>
      </c>
      <c r="T18" s="100">
        <v>120000</v>
      </c>
      <c r="U18" s="100" t="s">
        <v>455</v>
      </c>
      <c r="V18" s="100">
        <v>0</v>
      </c>
      <c r="W18" s="100" t="s">
        <v>466</v>
      </c>
      <c r="X18" s="100">
        <v>0</v>
      </c>
      <c r="Y18" s="100" t="s">
        <v>466</v>
      </c>
      <c r="Z18" s="100"/>
      <c r="AA18" s="100"/>
      <c r="AB18" s="100">
        <v>0</v>
      </c>
      <c r="AC18" s="100">
        <f t="shared" si="0"/>
        <v>0</v>
      </c>
      <c r="AD18" s="141">
        <f t="shared" si="1"/>
        <v>480000</v>
      </c>
      <c r="AE18" s="100">
        <v>120000</v>
      </c>
      <c r="AF18" s="100">
        <v>0</v>
      </c>
      <c r="AG18" s="100">
        <v>0</v>
      </c>
      <c r="AH18" s="100">
        <v>120000</v>
      </c>
      <c r="AI18" s="100">
        <v>120000</v>
      </c>
      <c r="AJ18" s="100">
        <v>120000</v>
      </c>
      <c r="AK18" s="100">
        <v>0</v>
      </c>
      <c r="AL18" s="100">
        <v>0</v>
      </c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</row>
    <row r="19" spans="1:72" ht="20.25" x14ac:dyDescent="0.25">
      <c r="A19" s="113" t="s">
        <v>19</v>
      </c>
      <c r="B19" s="113" t="s">
        <v>473</v>
      </c>
      <c r="C19" s="114" t="s">
        <v>500</v>
      </c>
      <c r="D19" s="125" t="s">
        <v>501</v>
      </c>
      <c r="E19" s="113" t="s">
        <v>545</v>
      </c>
      <c r="F19" s="129" t="s">
        <v>35</v>
      </c>
      <c r="G19" s="111" t="s">
        <v>31</v>
      </c>
      <c r="H19" s="131">
        <v>45566</v>
      </c>
      <c r="I19" s="131">
        <v>45717</v>
      </c>
      <c r="J19" s="104" t="s">
        <v>489</v>
      </c>
      <c r="K19" s="116" t="s">
        <v>502</v>
      </c>
      <c r="L19" s="100">
        <v>0</v>
      </c>
      <c r="M19" s="100" t="s">
        <v>466</v>
      </c>
      <c r="N19" s="100">
        <v>0</v>
      </c>
      <c r="O19" s="100" t="s">
        <v>466</v>
      </c>
      <c r="P19" s="100">
        <v>300000</v>
      </c>
      <c r="Q19" s="100" t="s">
        <v>455</v>
      </c>
      <c r="R19" s="100">
        <v>300000</v>
      </c>
      <c r="S19" s="100" t="s">
        <v>455</v>
      </c>
      <c r="T19" s="100">
        <v>300000</v>
      </c>
      <c r="U19" s="100" t="s">
        <v>455</v>
      </c>
      <c r="V19" s="100">
        <v>0</v>
      </c>
      <c r="W19" s="100" t="s">
        <v>466</v>
      </c>
      <c r="X19" s="100">
        <v>0</v>
      </c>
      <c r="Y19" s="100" t="s">
        <v>466</v>
      </c>
      <c r="Z19" s="100"/>
      <c r="AA19" s="100"/>
      <c r="AB19" s="100">
        <v>0</v>
      </c>
      <c r="AC19" s="100">
        <f t="shared" si="0"/>
        <v>0</v>
      </c>
      <c r="AD19" s="141">
        <f t="shared" si="1"/>
        <v>1200000</v>
      </c>
      <c r="AE19" s="100">
        <v>300000</v>
      </c>
      <c r="AF19" s="100">
        <v>0</v>
      </c>
      <c r="AG19" s="100">
        <v>0</v>
      </c>
      <c r="AH19" s="100">
        <v>300000</v>
      </c>
      <c r="AI19" s="100">
        <v>300000</v>
      </c>
      <c r="AJ19" s="100">
        <v>300000</v>
      </c>
      <c r="AK19" s="100">
        <v>0</v>
      </c>
      <c r="AL19" s="100">
        <v>0</v>
      </c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</row>
    <row r="20" spans="1:72" ht="20.25" x14ac:dyDescent="0.25">
      <c r="A20" s="113" t="s">
        <v>19</v>
      </c>
      <c r="B20" s="113" t="s">
        <v>473</v>
      </c>
      <c r="C20" s="114" t="s">
        <v>500</v>
      </c>
      <c r="D20" s="125" t="s">
        <v>501</v>
      </c>
      <c r="E20" s="113" t="s">
        <v>545</v>
      </c>
      <c r="F20" s="129" t="s">
        <v>35</v>
      </c>
      <c r="G20" s="111" t="s">
        <v>63</v>
      </c>
      <c r="H20" s="131">
        <v>45931</v>
      </c>
      <c r="I20" s="131">
        <v>45627</v>
      </c>
      <c r="J20" s="106" t="s">
        <v>596</v>
      </c>
      <c r="K20" s="116" t="s">
        <v>502</v>
      </c>
      <c r="L20" s="100">
        <v>150000</v>
      </c>
      <c r="M20" s="100" t="s">
        <v>455</v>
      </c>
      <c r="N20" s="100">
        <v>150000</v>
      </c>
      <c r="O20" s="100" t="s">
        <v>455</v>
      </c>
      <c r="P20" s="100">
        <v>150000</v>
      </c>
      <c r="Q20" s="100" t="s">
        <v>455</v>
      </c>
      <c r="R20" s="100">
        <v>0</v>
      </c>
      <c r="S20" s="100" t="s">
        <v>466</v>
      </c>
      <c r="T20" s="100">
        <v>0</v>
      </c>
      <c r="U20" s="100" t="s">
        <v>466</v>
      </c>
      <c r="V20" s="100">
        <v>0</v>
      </c>
      <c r="W20" s="100" t="s">
        <v>466</v>
      </c>
      <c r="X20" s="100">
        <v>0</v>
      </c>
      <c r="Y20" s="100" t="s">
        <v>466</v>
      </c>
      <c r="Z20" s="100"/>
      <c r="AA20" s="100"/>
      <c r="AB20" s="100">
        <v>0</v>
      </c>
      <c r="AC20" s="100">
        <f t="shared" si="0"/>
        <v>0</v>
      </c>
      <c r="AD20" s="141">
        <f t="shared" si="1"/>
        <v>600000</v>
      </c>
      <c r="AE20" s="100">
        <v>150000</v>
      </c>
      <c r="AF20" s="100">
        <v>150000</v>
      </c>
      <c r="AG20" s="100">
        <v>150000</v>
      </c>
      <c r="AH20" s="100">
        <v>150000</v>
      </c>
      <c r="AI20" s="100">
        <v>0</v>
      </c>
      <c r="AJ20" s="100">
        <v>0</v>
      </c>
      <c r="AK20" s="100">
        <v>0</v>
      </c>
      <c r="AL20" s="100">
        <v>0</v>
      </c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</row>
    <row r="21" spans="1:72" ht="20.25" x14ac:dyDescent="0.25">
      <c r="A21" s="113" t="s">
        <v>19</v>
      </c>
      <c r="B21" s="113" t="s">
        <v>473</v>
      </c>
      <c r="C21" s="114" t="s">
        <v>500</v>
      </c>
      <c r="D21" s="125" t="s">
        <v>501</v>
      </c>
      <c r="E21" s="113" t="s">
        <v>545</v>
      </c>
      <c r="F21" s="129" t="s">
        <v>35</v>
      </c>
      <c r="G21" s="111" t="s">
        <v>36</v>
      </c>
      <c r="H21" s="131">
        <v>45627</v>
      </c>
      <c r="I21" s="131">
        <v>45627</v>
      </c>
      <c r="J21" s="106" t="s">
        <v>617</v>
      </c>
      <c r="K21" s="116" t="s">
        <v>502</v>
      </c>
      <c r="L21" s="100">
        <v>80000</v>
      </c>
      <c r="M21" s="100" t="s">
        <v>455</v>
      </c>
      <c r="N21" s="100">
        <v>80000</v>
      </c>
      <c r="O21" s="100" t="s">
        <v>455</v>
      </c>
      <c r="P21" s="100">
        <v>0</v>
      </c>
      <c r="Q21" s="100" t="s">
        <v>466</v>
      </c>
      <c r="R21" s="100">
        <v>0</v>
      </c>
      <c r="S21" s="100" t="s">
        <v>466</v>
      </c>
      <c r="T21" s="100">
        <v>0</v>
      </c>
      <c r="U21" s="100" t="s">
        <v>466</v>
      </c>
      <c r="V21" s="100">
        <v>0</v>
      </c>
      <c r="W21" s="100" t="s">
        <v>466</v>
      </c>
      <c r="X21" s="100">
        <v>0</v>
      </c>
      <c r="Y21" s="100" t="s">
        <v>466</v>
      </c>
      <c r="Z21" s="100"/>
      <c r="AA21" s="100"/>
      <c r="AB21" s="100">
        <v>0</v>
      </c>
      <c r="AC21" s="100">
        <f t="shared" si="0"/>
        <v>0</v>
      </c>
      <c r="AD21" s="141">
        <f t="shared" si="1"/>
        <v>240000</v>
      </c>
      <c r="AE21" s="100">
        <v>80000</v>
      </c>
      <c r="AF21" s="100">
        <v>80000</v>
      </c>
      <c r="AG21" s="100">
        <v>80000</v>
      </c>
      <c r="AH21" s="100">
        <v>0</v>
      </c>
      <c r="AI21" s="100">
        <v>0</v>
      </c>
      <c r="AJ21" s="100">
        <v>0</v>
      </c>
      <c r="AK21" s="100">
        <v>0</v>
      </c>
      <c r="AL21" s="100">
        <v>0</v>
      </c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</row>
    <row r="22" spans="1:72" ht="20.25" x14ac:dyDescent="0.25">
      <c r="A22" s="113" t="s">
        <v>19</v>
      </c>
      <c r="B22" s="113" t="s">
        <v>473</v>
      </c>
      <c r="C22" s="114" t="s">
        <v>500</v>
      </c>
      <c r="D22" s="125" t="s">
        <v>501</v>
      </c>
      <c r="E22" s="113" t="s">
        <v>545</v>
      </c>
      <c r="F22" s="129" t="s">
        <v>35</v>
      </c>
      <c r="G22" s="111" t="s">
        <v>36</v>
      </c>
      <c r="H22" s="131">
        <v>45627</v>
      </c>
      <c r="I22" s="131">
        <v>45709</v>
      </c>
      <c r="J22" s="106" t="s">
        <v>618</v>
      </c>
      <c r="K22" s="116" t="s">
        <v>502</v>
      </c>
      <c r="L22" s="100">
        <v>0</v>
      </c>
      <c r="M22" s="100" t="s">
        <v>466</v>
      </c>
      <c r="N22" s="100">
        <v>0</v>
      </c>
      <c r="O22" s="100" t="s">
        <v>466</v>
      </c>
      <c r="P22" s="100">
        <v>80000</v>
      </c>
      <c r="Q22" s="100" t="s">
        <v>455</v>
      </c>
      <c r="R22" s="100">
        <v>80000</v>
      </c>
      <c r="S22" s="100" t="s">
        <v>455</v>
      </c>
      <c r="T22" s="100">
        <v>80000</v>
      </c>
      <c r="U22" s="100" t="s">
        <v>455</v>
      </c>
      <c r="V22" s="100">
        <v>0</v>
      </c>
      <c r="W22" s="100" t="s">
        <v>466</v>
      </c>
      <c r="X22" s="100">
        <v>0</v>
      </c>
      <c r="Y22" s="100" t="s">
        <v>466</v>
      </c>
      <c r="Z22" s="100"/>
      <c r="AA22" s="100"/>
      <c r="AB22" s="100">
        <v>0</v>
      </c>
      <c r="AC22" s="100">
        <f t="shared" si="0"/>
        <v>0</v>
      </c>
      <c r="AD22" s="141">
        <f t="shared" si="1"/>
        <v>240000</v>
      </c>
      <c r="AE22" s="100">
        <v>0</v>
      </c>
      <c r="AF22" s="100">
        <v>0</v>
      </c>
      <c r="AG22" s="100">
        <v>0</v>
      </c>
      <c r="AH22" s="100">
        <v>80000</v>
      </c>
      <c r="AI22" s="100">
        <v>80000</v>
      </c>
      <c r="AJ22" s="100">
        <v>80000</v>
      </c>
      <c r="AK22" s="100">
        <v>0</v>
      </c>
      <c r="AL22" s="100">
        <v>0</v>
      </c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</row>
    <row r="23" spans="1:72" ht="20.25" x14ac:dyDescent="0.25">
      <c r="A23" s="113" t="s">
        <v>19</v>
      </c>
      <c r="B23" s="113" t="s">
        <v>473</v>
      </c>
      <c r="C23" s="114" t="s">
        <v>593</v>
      </c>
      <c r="D23" s="125" t="s">
        <v>501</v>
      </c>
      <c r="E23" s="113" t="s">
        <v>545</v>
      </c>
      <c r="F23" s="129" t="s">
        <v>35</v>
      </c>
      <c r="G23" s="115" t="s">
        <v>306</v>
      </c>
      <c r="H23" s="131">
        <v>45733</v>
      </c>
      <c r="I23" s="111" t="s">
        <v>594</v>
      </c>
      <c r="J23" s="106" t="s">
        <v>307</v>
      </c>
      <c r="K23" s="116" t="s">
        <v>502</v>
      </c>
      <c r="L23" s="100">
        <v>0</v>
      </c>
      <c r="M23" s="100" t="s">
        <v>466</v>
      </c>
      <c r="N23" s="100">
        <v>0</v>
      </c>
      <c r="O23" s="100" t="s">
        <v>466</v>
      </c>
      <c r="P23" s="100">
        <v>0</v>
      </c>
      <c r="Q23" s="100" t="s">
        <v>466</v>
      </c>
      <c r="R23" s="100">
        <v>127500</v>
      </c>
      <c r="S23" s="100" t="s">
        <v>455</v>
      </c>
      <c r="T23" s="100">
        <v>127500</v>
      </c>
      <c r="U23" s="100" t="s">
        <v>455</v>
      </c>
      <c r="V23" s="100">
        <v>0</v>
      </c>
      <c r="W23" s="100" t="s">
        <v>466</v>
      </c>
      <c r="X23" s="100">
        <v>0</v>
      </c>
      <c r="Y23" s="100" t="s">
        <v>466</v>
      </c>
      <c r="Z23" s="100"/>
      <c r="AA23" s="100"/>
      <c r="AB23" s="100">
        <v>0</v>
      </c>
      <c r="AC23" s="100">
        <f t="shared" si="0"/>
        <v>0</v>
      </c>
      <c r="AD23" s="141">
        <f t="shared" si="1"/>
        <v>0</v>
      </c>
      <c r="AE23" s="100">
        <v>0</v>
      </c>
      <c r="AF23" s="100">
        <v>0</v>
      </c>
      <c r="AG23" s="100">
        <v>0</v>
      </c>
      <c r="AH23" s="100">
        <v>0</v>
      </c>
      <c r="AI23" s="100">
        <v>0</v>
      </c>
      <c r="AJ23" s="100">
        <v>0</v>
      </c>
      <c r="AK23" s="100">
        <v>0</v>
      </c>
      <c r="AL23" s="100">
        <v>0</v>
      </c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</row>
    <row r="24" spans="1:72" ht="21" x14ac:dyDescent="0.25">
      <c r="A24" s="113" t="s">
        <v>32</v>
      </c>
      <c r="B24" s="113" t="s">
        <v>473</v>
      </c>
      <c r="C24" s="114" t="s">
        <v>508</v>
      </c>
      <c r="D24" s="107" t="s">
        <v>509</v>
      </c>
      <c r="E24" s="109" t="s">
        <v>456</v>
      </c>
      <c r="F24" s="129" t="s">
        <v>48</v>
      </c>
      <c r="G24" s="111" t="s">
        <v>33</v>
      </c>
      <c r="H24" s="131">
        <v>45681</v>
      </c>
      <c r="I24" s="131">
        <v>45691</v>
      </c>
      <c r="J24" s="104" t="s">
        <v>490</v>
      </c>
      <c r="K24" s="127" t="s">
        <v>657</v>
      </c>
      <c r="L24" s="100">
        <v>0</v>
      </c>
      <c r="M24" s="100" t="s">
        <v>466</v>
      </c>
      <c r="N24" s="100">
        <v>23000</v>
      </c>
      <c r="O24" s="100" t="s">
        <v>455</v>
      </c>
      <c r="P24" s="100">
        <v>15500</v>
      </c>
      <c r="Q24" s="100" t="s">
        <v>455</v>
      </c>
      <c r="R24" s="100">
        <v>15000</v>
      </c>
      <c r="S24" s="100" t="s">
        <v>455</v>
      </c>
      <c r="T24" s="100">
        <v>1500</v>
      </c>
      <c r="U24" s="100" t="s">
        <v>455</v>
      </c>
      <c r="V24" s="100">
        <v>0</v>
      </c>
      <c r="W24" s="100" t="s">
        <v>466</v>
      </c>
      <c r="X24" s="100">
        <v>0</v>
      </c>
      <c r="Y24" s="100" t="s">
        <v>466</v>
      </c>
      <c r="Z24" s="100"/>
      <c r="AA24" s="100"/>
      <c r="AB24" s="100">
        <v>0</v>
      </c>
      <c r="AC24" s="100">
        <f t="shared" si="0"/>
        <v>0</v>
      </c>
      <c r="AD24" s="141">
        <f t="shared" si="1"/>
        <v>32000</v>
      </c>
      <c r="AE24" s="100">
        <v>0</v>
      </c>
      <c r="AF24" s="100">
        <v>0</v>
      </c>
      <c r="AG24" s="100">
        <v>0</v>
      </c>
      <c r="AH24" s="100">
        <v>30500</v>
      </c>
      <c r="AI24" s="100">
        <v>0</v>
      </c>
      <c r="AJ24" s="100">
        <v>1500</v>
      </c>
      <c r="AK24" s="100">
        <v>0</v>
      </c>
      <c r="AL24" s="100">
        <v>0</v>
      </c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</row>
    <row r="25" spans="1:72" ht="20.25" x14ac:dyDescent="0.25">
      <c r="A25" s="113" t="s">
        <v>32</v>
      </c>
      <c r="B25" s="113" t="s">
        <v>473</v>
      </c>
      <c r="C25" s="129" t="s">
        <v>518</v>
      </c>
      <c r="D25" s="112" t="s">
        <v>519</v>
      </c>
      <c r="E25" s="113" t="s">
        <v>545</v>
      </c>
      <c r="F25" s="129" t="s">
        <v>35</v>
      </c>
      <c r="G25" s="115" t="s">
        <v>50</v>
      </c>
      <c r="H25" s="130">
        <v>45702</v>
      </c>
      <c r="I25" s="130">
        <v>45717</v>
      </c>
      <c r="J25" s="105" t="s">
        <v>51</v>
      </c>
      <c r="K25" s="127" t="s">
        <v>549</v>
      </c>
      <c r="L25" s="100">
        <v>0</v>
      </c>
      <c r="M25" s="100" t="s">
        <v>466</v>
      </c>
      <c r="N25" s="100">
        <v>0</v>
      </c>
      <c r="O25" s="100" t="s">
        <v>466</v>
      </c>
      <c r="P25" s="100">
        <v>82500</v>
      </c>
      <c r="Q25" s="100" t="s">
        <v>455</v>
      </c>
      <c r="R25" s="100">
        <v>60000</v>
      </c>
      <c r="S25" s="100" t="s">
        <v>455</v>
      </c>
      <c r="T25" s="100">
        <v>0</v>
      </c>
      <c r="U25" s="100" t="s">
        <v>466</v>
      </c>
      <c r="V25" s="100">
        <v>0</v>
      </c>
      <c r="W25" s="100" t="s">
        <v>466</v>
      </c>
      <c r="X25" s="100">
        <v>0</v>
      </c>
      <c r="Y25" s="100" t="s">
        <v>466</v>
      </c>
      <c r="Z25" s="100"/>
      <c r="AA25" s="100"/>
      <c r="AB25" s="100">
        <v>0</v>
      </c>
      <c r="AC25" s="100">
        <f t="shared" si="0"/>
        <v>0</v>
      </c>
      <c r="AD25" s="141">
        <f t="shared" si="1"/>
        <v>142500</v>
      </c>
      <c r="AE25" s="100">
        <v>0</v>
      </c>
      <c r="AF25" s="100">
        <v>0</v>
      </c>
      <c r="AG25" s="100">
        <v>82500</v>
      </c>
      <c r="AH25" s="100">
        <v>60000</v>
      </c>
      <c r="AI25" s="100">
        <v>0</v>
      </c>
      <c r="AJ25" s="100">
        <v>0</v>
      </c>
      <c r="AK25" s="100">
        <v>0</v>
      </c>
      <c r="AL25" s="100">
        <v>0</v>
      </c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</row>
    <row r="26" spans="1:72" ht="20.25" x14ac:dyDescent="0.25">
      <c r="A26" s="113" t="s">
        <v>32</v>
      </c>
      <c r="B26" s="113" t="s">
        <v>473</v>
      </c>
      <c r="C26" s="129" t="s">
        <v>518</v>
      </c>
      <c r="D26" s="112" t="s">
        <v>519</v>
      </c>
      <c r="E26" s="113" t="s">
        <v>545</v>
      </c>
      <c r="F26" s="129" t="s">
        <v>35</v>
      </c>
      <c r="G26" s="115" t="s">
        <v>50</v>
      </c>
      <c r="H26" s="130">
        <v>45702</v>
      </c>
      <c r="I26" s="130">
        <v>45717</v>
      </c>
      <c r="J26" s="105" t="s">
        <v>52</v>
      </c>
      <c r="K26" s="127" t="s">
        <v>549</v>
      </c>
      <c r="L26" s="100">
        <v>0</v>
      </c>
      <c r="M26" s="100" t="s">
        <v>466</v>
      </c>
      <c r="N26" s="100">
        <v>0</v>
      </c>
      <c r="O26" s="100" t="s">
        <v>466</v>
      </c>
      <c r="P26" s="100">
        <v>126000</v>
      </c>
      <c r="Q26" s="100" t="s">
        <v>455</v>
      </c>
      <c r="R26" s="100">
        <v>65000</v>
      </c>
      <c r="S26" s="100" t="s">
        <v>455</v>
      </c>
      <c r="T26" s="100">
        <v>0</v>
      </c>
      <c r="U26" s="100" t="s">
        <v>466</v>
      </c>
      <c r="V26" s="100">
        <v>0</v>
      </c>
      <c r="W26" s="100" t="s">
        <v>466</v>
      </c>
      <c r="X26" s="100">
        <v>0</v>
      </c>
      <c r="Y26" s="100" t="s">
        <v>466</v>
      </c>
      <c r="Z26" s="100"/>
      <c r="AA26" s="100"/>
      <c r="AB26" s="100">
        <v>0</v>
      </c>
      <c r="AC26" s="100">
        <f t="shared" si="0"/>
        <v>0</v>
      </c>
      <c r="AD26" s="141">
        <f t="shared" si="1"/>
        <v>191000</v>
      </c>
      <c r="AE26" s="100">
        <v>0</v>
      </c>
      <c r="AF26" s="100">
        <v>0</v>
      </c>
      <c r="AG26" s="100">
        <v>126000</v>
      </c>
      <c r="AH26" s="100">
        <v>65000</v>
      </c>
      <c r="AI26" s="100">
        <v>0</v>
      </c>
      <c r="AJ26" s="100">
        <v>0</v>
      </c>
      <c r="AK26" s="100">
        <v>0</v>
      </c>
      <c r="AL26" s="100">
        <v>0</v>
      </c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</row>
    <row r="27" spans="1:72" ht="20.25" x14ac:dyDescent="0.25">
      <c r="A27" s="113" t="s">
        <v>32</v>
      </c>
      <c r="B27" s="113" t="s">
        <v>473</v>
      </c>
      <c r="C27" s="129" t="s">
        <v>518</v>
      </c>
      <c r="D27" s="112" t="s">
        <v>519</v>
      </c>
      <c r="E27" s="113" t="s">
        <v>545</v>
      </c>
      <c r="F27" s="129" t="s">
        <v>35</v>
      </c>
      <c r="G27" s="115" t="s">
        <v>50</v>
      </c>
      <c r="H27" s="130">
        <v>45702</v>
      </c>
      <c r="I27" s="130">
        <v>45717</v>
      </c>
      <c r="J27" s="105" t="s">
        <v>53</v>
      </c>
      <c r="K27" s="127" t="s">
        <v>549</v>
      </c>
      <c r="L27" s="100">
        <v>0</v>
      </c>
      <c r="M27" s="100" t="s">
        <v>466</v>
      </c>
      <c r="N27" s="100">
        <v>0</v>
      </c>
      <c r="O27" s="100" t="s">
        <v>466</v>
      </c>
      <c r="P27" s="100">
        <v>277000</v>
      </c>
      <c r="Q27" s="100" t="s">
        <v>455</v>
      </c>
      <c r="R27" s="100">
        <v>100000</v>
      </c>
      <c r="S27" s="100" t="s">
        <v>455</v>
      </c>
      <c r="T27" s="100">
        <v>0</v>
      </c>
      <c r="U27" s="100" t="s">
        <v>466</v>
      </c>
      <c r="V27" s="100">
        <v>0</v>
      </c>
      <c r="W27" s="100" t="s">
        <v>466</v>
      </c>
      <c r="X27" s="100">
        <v>0</v>
      </c>
      <c r="Y27" s="100" t="s">
        <v>466</v>
      </c>
      <c r="Z27" s="100"/>
      <c r="AA27" s="100"/>
      <c r="AB27" s="100">
        <v>0</v>
      </c>
      <c r="AC27" s="100">
        <f t="shared" si="0"/>
        <v>0</v>
      </c>
      <c r="AD27" s="141">
        <f t="shared" si="1"/>
        <v>377000</v>
      </c>
      <c r="AE27" s="100">
        <v>0</v>
      </c>
      <c r="AF27" s="100">
        <v>0</v>
      </c>
      <c r="AG27" s="100">
        <v>277000</v>
      </c>
      <c r="AH27" s="100">
        <v>100000</v>
      </c>
      <c r="AI27" s="100">
        <v>0</v>
      </c>
      <c r="AJ27" s="100">
        <v>0</v>
      </c>
      <c r="AK27" s="100">
        <v>0</v>
      </c>
      <c r="AL27" s="100">
        <v>0</v>
      </c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</row>
    <row r="28" spans="1:72" ht="81.75" customHeight="1" x14ac:dyDescent="0.25">
      <c r="A28" s="113" t="s">
        <v>32</v>
      </c>
      <c r="B28" s="113" t="s">
        <v>473</v>
      </c>
      <c r="C28" s="129" t="s">
        <v>518</v>
      </c>
      <c r="D28" s="112" t="s">
        <v>519</v>
      </c>
      <c r="E28" s="113" t="s">
        <v>545</v>
      </c>
      <c r="F28" s="129" t="s">
        <v>35</v>
      </c>
      <c r="G28" s="115" t="s">
        <v>50</v>
      </c>
      <c r="H28" s="130">
        <v>45702</v>
      </c>
      <c r="I28" s="130">
        <v>45717</v>
      </c>
      <c r="J28" s="105" t="s">
        <v>57</v>
      </c>
      <c r="K28" s="127" t="s">
        <v>549</v>
      </c>
      <c r="L28" s="100">
        <v>0</v>
      </c>
      <c r="M28" s="100" t="s">
        <v>466</v>
      </c>
      <c r="N28" s="100">
        <v>0</v>
      </c>
      <c r="O28" s="100" t="s">
        <v>466</v>
      </c>
      <c r="P28" s="100">
        <v>70000</v>
      </c>
      <c r="Q28" s="100" t="s">
        <v>455</v>
      </c>
      <c r="R28" s="100">
        <v>45000</v>
      </c>
      <c r="S28" s="100" t="s">
        <v>455</v>
      </c>
      <c r="T28" s="100">
        <v>0</v>
      </c>
      <c r="U28" s="100" t="s">
        <v>466</v>
      </c>
      <c r="V28" s="100">
        <v>0</v>
      </c>
      <c r="W28" s="100" t="s">
        <v>466</v>
      </c>
      <c r="X28" s="100">
        <v>0</v>
      </c>
      <c r="Y28" s="100" t="s">
        <v>466</v>
      </c>
      <c r="Z28" s="100"/>
      <c r="AA28" s="100"/>
      <c r="AB28" s="100">
        <v>0</v>
      </c>
      <c r="AC28" s="100">
        <f t="shared" si="0"/>
        <v>0</v>
      </c>
      <c r="AD28" s="141">
        <f t="shared" si="1"/>
        <v>115000</v>
      </c>
      <c r="AE28" s="100">
        <v>0</v>
      </c>
      <c r="AF28" s="100">
        <v>0</v>
      </c>
      <c r="AG28" s="100">
        <v>70000</v>
      </c>
      <c r="AH28" s="100">
        <v>45000</v>
      </c>
      <c r="AI28" s="100">
        <v>0</v>
      </c>
      <c r="AJ28" s="100">
        <v>0</v>
      </c>
      <c r="AK28" s="100">
        <v>0</v>
      </c>
      <c r="AL28" s="100">
        <v>0</v>
      </c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</row>
    <row r="29" spans="1:72" ht="20.25" x14ac:dyDescent="0.25">
      <c r="A29" s="113" t="s">
        <v>32</v>
      </c>
      <c r="B29" s="113" t="s">
        <v>473</v>
      </c>
      <c r="C29" s="129" t="s">
        <v>518</v>
      </c>
      <c r="D29" s="112" t="s">
        <v>519</v>
      </c>
      <c r="E29" s="113" t="s">
        <v>545</v>
      </c>
      <c r="F29" s="129" t="s">
        <v>35</v>
      </c>
      <c r="G29" s="115" t="s">
        <v>590</v>
      </c>
      <c r="H29" s="130">
        <v>45705</v>
      </c>
      <c r="I29" s="130">
        <v>45717</v>
      </c>
      <c r="J29" s="105" t="s">
        <v>49</v>
      </c>
      <c r="K29" s="127" t="s">
        <v>549</v>
      </c>
      <c r="L29" s="100">
        <v>0</v>
      </c>
      <c r="M29" s="100" t="s">
        <v>466</v>
      </c>
      <c r="N29" s="100">
        <v>0</v>
      </c>
      <c r="O29" s="100" t="s">
        <v>466</v>
      </c>
      <c r="P29" s="100">
        <v>200000</v>
      </c>
      <c r="Q29" s="100" t="s">
        <v>455</v>
      </c>
      <c r="R29" s="100">
        <v>200000</v>
      </c>
      <c r="S29" s="100" t="s">
        <v>455</v>
      </c>
      <c r="T29" s="100">
        <v>0</v>
      </c>
      <c r="U29" s="100" t="s">
        <v>466</v>
      </c>
      <c r="V29" s="100">
        <v>0</v>
      </c>
      <c r="W29" s="100" t="s">
        <v>466</v>
      </c>
      <c r="X29" s="100">
        <v>0</v>
      </c>
      <c r="Y29" s="100" t="s">
        <v>466</v>
      </c>
      <c r="Z29" s="100"/>
      <c r="AA29" s="100"/>
      <c r="AB29" s="100">
        <v>0</v>
      </c>
      <c r="AC29" s="100">
        <f t="shared" si="0"/>
        <v>0</v>
      </c>
      <c r="AD29" s="141">
        <f t="shared" si="1"/>
        <v>0</v>
      </c>
      <c r="AE29" s="100">
        <v>0</v>
      </c>
      <c r="AF29" s="100">
        <v>0</v>
      </c>
      <c r="AG29" s="100">
        <v>0</v>
      </c>
      <c r="AH29" s="100">
        <v>0</v>
      </c>
      <c r="AI29" s="100">
        <v>0</v>
      </c>
      <c r="AJ29" s="100">
        <v>0</v>
      </c>
      <c r="AK29" s="100">
        <v>0</v>
      </c>
      <c r="AL29" s="100">
        <v>0</v>
      </c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</row>
    <row r="30" spans="1:72" ht="20.25" x14ac:dyDescent="0.25">
      <c r="A30" s="113" t="s">
        <v>32</v>
      </c>
      <c r="B30" s="113" t="s">
        <v>473</v>
      </c>
      <c r="C30" s="129" t="s">
        <v>518</v>
      </c>
      <c r="D30" s="112" t="s">
        <v>519</v>
      </c>
      <c r="E30" s="113" t="s">
        <v>545</v>
      </c>
      <c r="F30" s="129" t="s">
        <v>35</v>
      </c>
      <c r="G30" s="115" t="s">
        <v>590</v>
      </c>
      <c r="H30" s="130">
        <v>45705</v>
      </c>
      <c r="I30" s="130">
        <v>45747</v>
      </c>
      <c r="J30" s="105" t="s">
        <v>591</v>
      </c>
      <c r="K30" s="127" t="s">
        <v>549</v>
      </c>
      <c r="L30" s="100">
        <v>0</v>
      </c>
      <c r="M30" s="100" t="s">
        <v>466</v>
      </c>
      <c r="N30" s="100">
        <v>0</v>
      </c>
      <c r="O30" s="100" t="s">
        <v>466</v>
      </c>
      <c r="P30" s="100">
        <v>0</v>
      </c>
      <c r="Q30" s="100" t="s">
        <v>466</v>
      </c>
      <c r="R30" s="100">
        <v>200000</v>
      </c>
      <c r="S30" s="100" t="s">
        <v>455</v>
      </c>
      <c r="T30" s="100">
        <v>200000</v>
      </c>
      <c r="U30" s="100" t="s">
        <v>455</v>
      </c>
      <c r="V30" s="100">
        <v>0</v>
      </c>
      <c r="W30" s="100" t="s">
        <v>466</v>
      </c>
      <c r="X30" s="100">
        <v>0</v>
      </c>
      <c r="Y30" s="100" t="s">
        <v>466</v>
      </c>
      <c r="Z30" s="100"/>
      <c r="AA30" s="100"/>
      <c r="AB30" s="100">
        <v>0</v>
      </c>
      <c r="AC30" s="100">
        <f t="shared" si="0"/>
        <v>0</v>
      </c>
      <c r="AD30" s="141">
        <f t="shared" si="1"/>
        <v>0</v>
      </c>
      <c r="AE30" s="100">
        <v>0</v>
      </c>
      <c r="AF30" s="100">
        <v>0</v>
      </c>
      <c r="AG30" s="100">
        <v>0</v>
      </c>
      <c r="AH30" s="100">
        <v>0</v>
      </c>
      <c r="AI30" s="100">
        <v>0</v>
      </c>
      <c r="AJ30" s="100">
        <v>0</v>
      </c>
      <c r="AK30" s="100">
        <v>0</v>
      </c>
      <c r="AL30" s="100">
        <v>0</v>
      </c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</row>
    <row r="31" spans="1:72" ht="20.25" x14ac:dyDescent="0.25">
      <c r="A31" s="115" t="s">
        <v>32</v>
      </c>
      <c r="B31" s="113" t="s">
        <v>473</v>
      </c>
      <c r="C31" s="129" t="s">
        <v>520</v>
      </c>
      <c r="D31" s="112" t="s">
        <v>521</v>
      </c>
      <c r="E31" s="113" t="s">
        <v>545</v>
      </c>
      <c r="F31" s="129" t="s">
        <v>54</v>
      </c>
      <c r="G31" s="115" t="s">
        <v>55</v>
      </c>
      <c r="H31" s="130">
        <v>45705</v>
      </c>
      <c r="I31" s="130">
        <v>45717</v>
      </c>
      <c r="J31" s="104" t="s">
        <v>667</v>
      </c>
      <c r="K31" s="127" t="s">
        <v>550</v>
      </c>
      <c r="L31" s="100">
        <v>0</v>
      </c>
      <c r="M31" s="100" t="s">
        <v>466</v>
      </c>
      <c r="N31" s="100">
        <v>0</v>
      </c>
      <c r="O31" s="100" t="s">
        <v>466</v>
      </c>
      <c r="P31" s="100">
        <v>270000</v>
      </c>
      <c r="Q31" s="100" t="s">
        <v>455</v>
      </c>
      <c r="R31" s="100">
        <v>93000</v>
      </c>
      <c r="S31" s="100" t="s">
        <v>455</v>
      </c>
      <c r="T31" s="100">
        <v>0</v>
      </c>
      <c r="U31" s="100" t="s">
        <v>466</v>
      </c>
      <c r="V31" s="100">
        <v>0</v>
      </c>
      <c r="W31" s="100" t="s">
        <v>466</v>
      </c>
      <c r="X31" s="100">
        <v>0</v>
      </c>
      <c r="Y31" s="100" t="s">
        <v>466</v>
      </c>
      <c r="Z31" s="100"/>
      <c r="AA31" s="100"/>
      <c r="AB31" s="100">
        <v>0</v>
      </c>
      <c r="AC31" s="100">
        <f t="shared" si="0"/>
        <v>0</v>
      </c>
      <c r="AD31" s="141">
        <f t="shared" si="1"/>
        <v>363000</v>
      </c>
      <c r="AE31" s="100">
        <v>0</v>
      </c>
      <c r="AF31" s="100">
        <v>0</v>
      </c>
      <c r="AG31" s="100">
        <v>270000</v>
      </c>
      <c r="AH31" s="100">
        <v>93000</v>
      </c>
      <c r="AI31" s="100">
        <v>0</v>
      </c>
      <c r="AJ31" s="100">
        <v>0</v>
      </c>
      <c r="AK31" s="100">
        <v>0</v>
      </c>
      <c r="AL31" s="100">
        <v>0</v>
      </c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</row>
    <row r="32" spans="1:72" ht="20.25" x14ac:dyDescent="0.25">
      <c r="A32" s="115" t="s">
        <v>32</v>
      </c>
      <c r="B32" s="113" t="s">
        <v>473</v>
      </c>
      <c r="C32" s="129" t="s">
        <v>520</v>
      </c>
      <c r="D32" s="112" t="s">
        <v>521</v>
      </c>
      <c r="E32" s="113" t="s">
        <v>545</v>
      </c>
      <c r="F32" s="129" t="s">
        <v>54</v>
      </c>
      <c r="G32" s="115" t="s">
        <v>55</v>
      </c>
      <c r="H32" s="130">
        <v>45705</v>
      </c>
      <c r="I32" s="130">
        <v>45717</v>
      </c>
      <c r="J32" s="104" t="s">
        <v>668</v>
      </c>
      <c r="K32" s="127" t="s">
        <v>550</v>
      </c>
      <c r="L32" s="100">
        <v>0</v>
      </c>
      <c r="M32" s="100" t="s">
        <v>466</v>
      </c>
      <c r="N32" s="100">
        <v>0</v>
      </c>
      <c r="O32" s="100" t="s">
        <v>466</v>
      </c>
      <c r="P32" s="100">
        <v>74500</v>
      </c>
      <c r="Q32" s="100" t="s">
        <v>455</v>
      </c>
      <c r="R32" s="100">
        <v>46500</v>
      </c>
      <c r="S32" s="100" t="s">
        <v>455</v>
      </c>
      <c r="T32" s="100">
        <v>0</v>
      </c>
      <c r="U32" s="100" t="s">
        <v>466</v>
      </c>
      <c r="V32" s="100">
        <v>0</v>
      </c>
      <c r="W32" s="100" t="s">
        <v>466</v>
      </c>
      <c r="X32" s="100">
        <v>0</v>
      </c>
      <c r="Y32" s="100" t="s">
        <v>466</v>
      </c>
      <c r="Z32" s="100"/>
      <c r="AA32" s="100"/>
      <c r="AB32" s="100">
        <v>0</v>
      </c>
      <c r="AC32" s="100">
        <f t="shared" si="0"/>
        <v>0</v>
      </c>
      <c r="AD32" s="141">
        <f t="shared" si="1"/>
        <v>121000</v>
      </c>
      <c r="AE32" s="100">
        <v>0</v>
      </c>
      <c r="AF32" s="100">
        <v>0</v>
      </c>
      <c r="AG32" s="100">
        <v>74500</v>
      </c>
      <c r="AH32" s="100">
        <v>46500</v>
      </c>
      <c r="AI32" s="100">
        <v>0</v>
      </c>
      <c r="AJ32" s="100">
        <v>0</v>
      </c>
      <c r="AK32" s="100">
        <v>0</v>
      </c>
      <c r="AL32" s="100">
        <v>0</v>
      </c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</row>
    <row r="33" spans="1:72" ht="20.25" x14ac:dyDescent="0.25">
      <c r="A33" s="115" t="s">
        <v>32</v>
      </c>
      <c r="B33" s="113" t="s">
        <v>473</v>
      </c>
      <c r="C33" s="129" t="s">
        <v>520</v>
      </c>
      <c r="D33" s="112" t="s">
        <v>521</v>
      </c>
      <c r="E33" s="113" t="s">
        <v>545</v>
      </c>
      <c r="F33" s="129" t="s">
        <v>54</v>
      </c>
      <c r="G33" s="115" t="s">
        <v>55</v>
      </c>
      <c r="H33" s="130">
        <v>45705</v>
      </c>
      <c r="I33" s="130">
        <v>45717</v>
      </c>
      <c r="J33" s="104" t="s">
        <v>669</v>
      </c>
      <c r="K33" s="127" t="s">
        <v>550</v>
      </c>
      <c r="L33" s="100">
        <v>0</v>
      </c>
      <c r="M33" s="100" t="s">
        <v>466</v>
      </c>
      <c r="N33" s="100">
        <v>0</v>
      </c>
      <c r="O33" s="100" t="s">
        <v>466</v>
      </c>
      <c r="P33" s="100">
        <v>183700</v>
      </c>
      <c r="Q33" s="100" t="s">
        <v>455</v>
      </c>
      <c r="R33" s="100">
        <v>83700</v>
      </c>
      <c r="S33" s="100" t="s">
        <v>455</v>
      </c>
      <c r="T33" s="100">
        <v>0</v>
      </c>
      <c r="U33" s="100" t="s">
        <v>466</v>
      </c>
      <c r="V33" s="100">
        <v>0</v>
      </c>
      <c r="W33" s="100" t="s">
        <v>466</v>
      </c>
      <c r="X33" s="100">
        <v>0</v>
      </c>
      <c r="Y33" s="100" t="s">
        <v>466</v>
      </c>
      <c r="Z33" s="100"/>
      <c r="AA33" s="100"/>
      <c r="AB33" s="100">
        <v>0</v>
      </c>
      <c r="AC33" s="100">
        <f t="shared" si="0"/>
        <v>0</v>
      </c>
      <c r="AD33" s="141">
        <f t="shared" si="1"/>
        <v>267400</v>
      </c>
      <c r="AE33" s="100">
        <v>0</v>
      </c>
      <c r="AF33" s="100">
        <v>0</v>
      </c>
      <c r="AG33" s="100">
        <v>183700</v>
      </c>
      <c r="AH33" s="100">
        <v>83700</v>
      </c>
      <c r="AI33" s="100">
        <v>0</v>
      </c>
      <c r="AJ33" s="100">
        <v>0</v>
      </c>
      <c r="AK33" s="100">
        <v>0</v>
      </c>
      <c r="AL33" s="100">
        <v>0</v>
      </c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</row>
    <row r="34" spans="1:72" ht="20.25" x14ac:dyDescent="0.25">
      <c r="A34" s="115" t="s">
        <v>32</v>
      </c>
      <c r="B34" s="113" t="s">
        <v>473</v>
      </c>
      <c r="C34" s="129" t="s">
        <v>520</v>
      </c>
      <c r="D34" s="112" t="s">
        <v>521</v>
      </c>
      <c r="E34" s="113" t="s">
        <v>545</v>
      </c>
      <c r="F34" s="129" t="s">
        <v>54</v>
      </c>
      <c r="G34" s="115" t="s">
        <v>55</v>
      </c>
      <c r="H34" s="130">
        <v>45705</v>
      </c>
      <c r="I34" s="130">
        <v>45778</v>
      </c>
      <c r="J34" s="104" t="s">
        <v>670</v>
      </c>
      <c r="K34" s="127" t="s">
        <v>550</v>
      </c>
      <c r="L34" s="100">
        <v>0</v>
      </c>
      <c r="M34" s="100" t="s">
        <v>466</v>
      </c>
      <c r="N34" s="100">
        <v>0</v>
      </c>
      <c r="O34" s="100" t="s">
        <v>466</v>
      </c>
      <c r="P34" s="100">
        <v>0</v>
      </c>
      <c r="Q34" s="100" t="s">
        <v>466</v>
      </c>
      <c r="R34" s="100">
        <v>0</v>
      </c>
      <c r="S34" s="100" t="s">
        <v>466</v>
      </c>
      <c r="T34" s="100">
        <v>270000</v>
      </c>
      <c r="U34" s="100" t="s">
        <v>455</v>
      </c>
      <c r="V34" s="100">
        <v>0</v>
      </c>
      <c r="W34" s="100" t="s">
        <v>466</v>
      </c>
      <c r="X34" s="100">
        <v>0</v>
      </c>
      <c r="Y34" s="100" t="s">
        <v>466</v>
      </c>
      <c r="Z34" s="100"/>
      <c r="AA34" s="100"/>
      <c r="AB34" s="100">
        <v>0</v>
      </c>
      <c r="AC34" s="100">
        <f t="shared" ref="AC34:AC52" si="2">SUMIF(L34:W34,"&lt;0")</f>
        <v>0</v>
      </c>
      <c r="AD34" s="141">
        <f t="shared" si="1"/>
        <v>270000</v>
      </c>
      <c r="AE34" s="100">
        <v>0</v>
      </c>
      <c r="AF34" s="100">
        <v>0</v>
      </c>
      <c r="AG34" s="100">
        <v>0</v>
      </c>
      <c r="AH34" s="100">
        <v>0</v>
      </c>
      <c r="AI34" s="100">
        <v>270000</v>
      </c>
      <c r="AJ34" s="100">
        <v>0</v>
      </c>
      <c r="AK34" s="100">
        <v>0</v>
      </c>
      <c r="AL34" s="100">
        <v>0</v>
      </c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</row>
    <row r="35" spans="1:72" ht="20.25" x14ac:dyDescent="0.25">
      <c r="A35" s="115" t="s">
        <v>32</v>
      </c>
      <c r="B35" s="113" t="s">
        <v>473</v>
      </c>
      <c r="C35" s="129" t="s">
        <v>520</v>
      </c>
      <c r="D35" s="112" t="s">
        <v>521</v>
      </c>
      <c r="E35" s="113" t="s">
        <v>545</v>
      </c>
      <c r="F35" s="129" t="s">
        <v>54</v>
      </c>
      <c r="G35" s="115" t="s">
        <v>55</v>
      </c>
      <c r="H35" s="130">
        <v>45705</v>
      </c>
      <c r="I35" s="130">
        <v>45778</v>
      </c>
      <c r="J35" s="104" t="s">
        <v>671</v>
      </c>
      <c r="K35" s="127" t="s">
        <v>550</v>
      </c>
      <c r="L35" s="100">
        <v>0</v>
      </c>
      <c r="M35" s="100" t="s">
        <v>466</v>
      </c>
      <c r="N35" s="100">
        <v>0</v>
      </c>
      <c r="O35" s="100" t="s">
        <v>466</v>
      </c>
      <c r="P35" s="100">
        <v>0</v>
      </c>
      <c r="Q35" s="100" t="s">
        <v>466</v>
      </c>
      <c r="R35" s="100">
        <v>0</v>
      </c>
      <c r="S35" s="100" t="s">
        <v>466</v>
      </c>
      <c r="T35" s="100">
        <v>74500</v>
      </c>
      <c r="U35" s="100" t="s">
        <v>455</v>
      </c>
      <c r="V35" s="100">
        <v>0</v>
      </c>
      <c r="W35" s="100" t="s">
        <v>466</v>
      </c>
      <c r="X35" s="100">
        <v>0</v>
      </c>
      <c r="Y35" s="100" t="s">
        <v>466</v>
      </c>
      <c r="Z35" s="100"/>
      <c r="AA35" s="100"/>
      <c r="AB35" s="100">
        <v>0</v>
      </c>
      <c r="AC35" s="100">
        <f t="shared" si="2"/>
        <v>0</v>
      </c>
      <c r="AD35" s="141">
        <f t="shared" si="1"/>
        <v>74500</v>
      </c>
      <c r="AE35" s="100">
        <v>0</v>
      </c>
      <c r="AF35" s="100">
        <v>0</v>
      </c>
      <c r="AG35" s="100">
        <v>0</v>
      </c>
      <c r="AH35" s="100">
        <v>0</v>
      </c>
      <c r="AI35" s="100">
        <v>74500</v>
      </c>
      <c r="AJ35" s="100">
        <v>0</v>
      </c>
      <c r="AK35" s="100">
        <v>0</v>
      </c>
      <c r="AL35" s="100">
        <v>0</v>
      </c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</row>
    <row r="36" spans="1:72" ht="20.25" x14ac:dyDescent="0.25">
      <c r="A36" s="115" t="s">
        <v>32</v>
      </c>
      <c r="B36" s="113" t="s">
        <v>473</v>
      </c>
      <c r="C36" s="129" t="s">
        <v>520</v>
      </c>
      <c r="D36" s="112" t="s">
        <v>521</v>
      </c>
      <c r="E36" s="113" t="s">
        <v>545</v>
      </c>
      <c r="F36" s="129" t="s">
        <v>54</v>
      </c>
      <c r="G36" s="115" t="s">
        <v>55</v>
      </c>
      <c r="H36" s="130">
        <v>45705</v>
      </c>
      <c r="I36" s="130">
        <v>45778</v>
      </c>
      <c r="J36" s="104" t="s">
        <v>672</v>
      </c>
      <c r="K36" s="127" t="s">
        <v>550</v>
      </c>
      <c r="L36" s="100">
        <v>0</v>
      </c>
      <c r="M36" s="100" t="s">
        <v>466</v>
      </c>
      <c r="N36" s="100">
        <v>0</v>
      </c>
      <c r="O36" s="100" t="s">
        <v>466</v>
      </c>
      <c r="P36" s="100">
        <v>0</v>
      </c>
      <c r="Q36" s="100" t="s">
        <v>466</v>
      </c>
      <c r="R36" s="100">
        <v>0</v>
      </c>
      <c r="S36" s="100" t="s">
        <v>466</v>
      </c>
      <c r="T36" s="100">
        <v>183700</v>
      </c>
      <c r="U36" s="100" t="s">
        <v>455</v>
      </c>
      <c r="V36" s="100">
        <v>0</v>
      </c>
      <c r="W36" s="100" t="s">
        <v>466</v>
      </c>
      <c r="X36" s="100">
        <v>0</v>
      </c>
      <c r="Y36" s="100" t="s">
        <v>466</v>
      </c>
      <c r="Z36" s="100"/>
      <c r="AA36" s="100"/>
      <c r="AB36" s="100">
        <v>0</v>
      </c>
      <c r="AC36" s="100">
        <f t="shared" si="2"/>
        <v>0</v>
      </c>
      <c r="AD36" s="141">
        <f t="shared" si="1"/>
        <v>183700</v>
      </c>
      <c r="AE36" s="100">
        <v>0</v>
      </c>
      <c r="AF36" s="100">
        <v>0</v>
      </c>
      <c r="AG36" s="100">
        <v>0</v>
      </c>
      <c r="AH36" s="100">
        <v>0</v>
      </c>
      <c r="AI36" s="100">
        <v>183700</v>
      </c>
      <c r="AJ36" s="100">
        <v>0</v>
      </c>
      <c r="AK36" s="100">
        <v>0</v>
      </c>
      <c r="AL36" s="100">
        <v>0</v>
      </c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</row>
    <row r="37" spans="1:72" ht="21" x14ac:dyDescent="0.25">
      <c r="A37" s="115" t="s">
        <v>32</v>
      </c>
      <c r="B37" s="113" t="s">
        <v>473</v>
      </c>
      <c r="C37" s="114" t="s">
        <v>527</v>
      </c>
      <c r="D37" s="107" t="s">
        <v>528</v>
      </c>
      <c r="E37" s="109" t="s">
        <v>456</v>
      </c>
      <c r="F37" s="129" t="s">
        <v>528</v>
      </c>
      <c r="G37" s="113" t="s">
        <v>61</v>
      </c>
      <c r="H37" s="132">
        <v>45706</v>
      </c>
      <c r="I37" s="132">
        <v>45808</v>
      </c>
      <c r="J37" s="104" t="s">
        <v>56</v>
      </c>
      <c r="K37" s="127" t="s">
        <v>552</v>
      </c>
      <c r="L37" s="100">
        <v>0</v>
      </c>
      <c r="M37" s="100" t="s">
        <v>466</v>
      </c>
      <c r="N37" s="100">
        <v>0</v>
      </c>
      <c r="O37" s="100" t="s">
        <v>466</v>
      </c>
      <c r="P37" s="100">
        <v>40700</v>
      </c>
      <c r="Q37" s="100" t="s">
        <v>455</v>
      </c>
      <c r="R37" s="100">
        <v>28000</v>
      </c>
      <c r="S37" s="100" t="s">
        <v>455</v>
      </c>
      <c r="T37" s="100">
        <v>28000</v>
      </c>
      <c r="U37" s="100" t="s">
        <v>455</v>
      </c>
      <c r="V37" s="100">
        <v>0</v>
      </c>
      <c r="W37" s="100" t="s">
        <v>466</v>
      </c>
      <c r="X37" s="100">
        <v>0</v>
      </c>
      <c r="Y37" s="100" t="s">
        <v>466</v>
      </c>
      <c r="Z37" s="100"/>
      <c r="AA37" s="100"/>
      <c r="AB37" s="100">
        <f>SUMIF(K37:V37,"&lt;0")</f>
        <v>0</v>
      </c>
      <c r="AC37" s="100">
        <f t="shared" si="2"/>
        <v>0</v>
      </c>
      <c r="AD37" s="141">
        <f t="shared" si="1"/>
        <v>96700</v>
      </c>
      <c r="AE37" s="100">
        <v>0</v>
      </c>
      <c r="AF37" s="100">
        <v>0</v>
      </c>
      <c r="AG37" s="100">
        <v>40700</v>
      </c>
      <c r="AH37" s="100">
        <v>28000</v>
      </c>
      <c r="AI37" s="100">
        <v>0</v>
      </c>
      <c r="AJ37" s="100">
        <v>28000</v>
      </c>
      <c r="AK37" s="100">
        <v>0</v>
      </c>
      <c r="AL37" s="100">
        <v>0</v>
      </c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</row>
    <row r="38" spans="1:72" ht="21" x14ac:dyDescent="0.25">
      <c r="A38" s="115" t="s">
        <v>32</v>
      </c>
      <c r="B38" s="113" t="s">
        <v>473</v>
      </c>
      <c r="C38" s="114" t="s">
        <v>527</v>
      </c>
      <c r="D38" s="107" t="s">
        <v>528</v>
      </c>
      <c r="E38" s="109" t="s">
        <v>456</v>
      </c>
      <c r="F38" s="129" t="s">
        <v>528</v>
      </c>
      <c r="G38" s="113" t="s">
        <v>62</v>
      </c>
      <c r="H38" s="132">
        <v>45706</v>
      </c>
      <c r="I38" s="132">
        <v>45711</v>
      </c>
      <c r="J38" s="104" t="s">
        <v>604</v>
      </c>
      <c r="K38" s="127" t="s">
        <v>552</v>
      </c>
      <c r="L38" s="100">
        <v>0</v>
      </c>
      <c r="M38" s="100" t="s">
        <v>466</v>
      </c>
      <c r="N38" s="100">
        <v>30000</v>
      </c>
      <c r="O38" s="100" t="s">
        <v>455</v>
      </c>
      <c r="P38" s="100">
        <v>0</v>
      </c>
      <c r="Q38" s="100" t="s">
        <v>466</v>
      </c>
      <c r="R38" s="100">
        <v>0</v>
      </c>
      <c r="S38" s="100" t="s">
        <v>466</v>
      </c>
      <c r="T38" s="100">
        <v>0</v>
      </c>
      <c r="U38" s="100" t="s">
        <v>466</v>
      </c>
      <c r="V38" s="100">
        <v>0</v>
      </c>
      <c r="W38" s="100" t="s">
        <v>466</v>
      </c>
      <c r="X38" s="100">
        <v>0</v>
      </c>
      <c r="Y38" s="100" t="s">
        <v>466</v>
      </c>
      <c r="Z38" s="100"/>
      <c r="AA38" s="100"/>
      <c r="AB38" s="100">
        <f>SUMIF(K38:V38,"&lt;0")</f>
        <v>0</v>
      </c>
      <c r="AC38" s="100">
        <f t="shared" si="2"/>
        <v>0</v>
      </c>
      <c r="AD38" s="141">
        <f t="shared" si="1"/>
        <v>30000</v>
      </c>
      <c r="AE38" s="100">
        <v>0</v>
      </c>
      <c r="AF38" s="100">
        <v>0</v>
      </c>
      <c r="AG38" s="100">
        <v>30000</v>
      </c>
      <c r="AH38" s="100">
        <v>0</v>
      </c>
      <c r="AI38" s="100">
        <v>0</v>
      </c>
      <c r="AJ38" s="100">
        <v>0</v>
      </c>
      <c r="AK38" s="100">
        <v>0</v>
      </c>
      <c r="AL38" s="100">
        <v>0</v>
      </c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</row>
    <row r="39" spans="1:72" ht="20.25" x14ac:dyDescent="0.25">
      <c r="A39" s="115" t="s">
        <v>19</v>
      </c>
      <c r="B39" s="113" t="s">
        <v>473</v>
      </c>
      <c r="C39" s="129" t="s">
        <v>605</v>
      </c>
      <c r="D39" s="112" t="s">
        <v>606</v>
      </c>
      <c r="E39" s="113" t="s">
        <v>545</v>
      </c>
      <c r="F39" s="129" t="s">
        <v>6</v>
      </c>
      <c r="G39" s="113" t="s">
        <v>185</v>
      </c>
      <c r="H39" s="132">
        <v>45719</v>
      </c>
      <c r="I39" s="132">
        <v>45735</v>
      </c>
      <c r="J39" s="104" t="s">
        <v>607</v>
      </c>
      <c r="K39" s="127" t="s">
        <v>608</v>
      </c>
      <c r="L39" s="100">
        <v>0</v>
      </c>
      <c r="M39" s="100" t="s">
        <v>466</v>
      </c>
      <c r="N39" s="100">
        <v>0</v>
      </c>
      <c r="O39" s="100" t="s">
        <v>466</v>
      </c>
      <c r="P39" s="100">
        <v>25000</v>
      </c>
      <c r="Q39" s="100" t="s">
        <v>455</v>
      </c>
      <c r="R39" s="100">
        <v>0</v>
      </c>
      <c r="S39" s="100" t="s">
        <v>466</v>
      </c>
      <c r="T39" s="100">
        <v>0</v>
      </c>
      <c r="U39" s="100" t="s">
        <v>466</v>
      </c>
      <c r="V39" s="100">
        <v>0</v>
      </c>
      <c r="W39" s="100" t="s">
        <v>466</v>
      </c>
      <c r="X39" s="100">
        <v>0</v>
      </c>
      <c r="Y39" s="100" t="s">
        <v>466</v>
      </c>
      <c r="Z39" s="100"/>
      <c r="AA39" s="100"/>
      <c r="AB39" s="100">
        <v>0</v>
      </c>
      <c r="AC39" s="100">
        <f t="shared" si="2"/>
        <v>0</v>
      </c>
      <c r="AD39" s="141">
        <f t="shared" si="1"/>
        <v>25000</v>
      </c>
      <c r="AE39" s="100">
        <v>0</v>
      </c>
      <c r="AF39" s="100">
        <v>0</v>
      </c>
      <c r="AG39" s="100">
        <v>0</v>
      </c>
      <c r="AH39" s="100">
        <v>25000</v>
      </c>
      <c r="AI39" s="100">
        <v>0</v>
      </c>
      <c r="AJ39" s="100">
        <v>0</v>
      </c>
      <c r="AK39" s="100">
        <v>0</v>
      </c>
      <c r="AL39" s="100">
        <v>0</v>
      </c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</row>
    <row r="40" spans="1:72" ht="20.25" x14ac:dyDescent="0.25">
      <c r="A40" s="115" t="s">
        <v>32</v>
      </c>
      <c r="B40" s="113" t="s">
        <v>599</v>
      </c>
      <c r="C40" s="129" t="s">
        <v>600</v>
      </c>
      <c r="D40" s="112" t="s">
        <v>600</v>
      </c>
      <c r="E40" s="113" t="s">
        <v>545</v>
      </c>
      <c r="F40" s="129" t="s">
        <v>601</v>
      </c>
      <c r="G40" s="113" t="s">
        <v>40</v>
      </c>
      <c r="H40" s="132">
        <v>45700</v>
      </c>
      <c r="I40" s="132">
        <v>45710</v>
      </c>
      <c r="J40" s="104" t="s">
        <v>602</v>
      </c>
      <c r="K40" s="127" t="s">
        <v>603</v>
      </c>
      <c r="L40" s="100">
        <v>0</v>
      </c>
      <c r="M40" s="100" t="s">
        <v>466</v>
      </c>
      <c r="N40" s="100">
        <v>30000</v>
      </c>
      <c r="O40" s="100" t="s">
        <v>455</v>
      </c>
      <c r="P40" s="100">
        <v>0</v>
      </c>
      <c r="Q40" s="100" t="s">
        <v>466</v>
      </c>
      <c r="R40" s="100">
        <v>0</v>
      </c>
      <c r="S40" s="100" t="s">
        <v>466</v>
      </c>
      <c r="T40" s="100">
        <v>0</v>
      </c>
      <c r="U40" s="100" t="s">
        <v>466</v>
      </c>
      <c r="V40" s="100">
        <v>0</v>
      </c>
      <c r="W40" s="100" t="s">
        <v>466</v>
      </c>
      <c r="X40" s="100">
        <v>0</v>
      </c>
      <c r="Y40" s="100" t="s">
        <v>466</v>
      </c>
      <c r="Z40" s="100"/>
      <c r="AA40" s="100"/>
      <c r="AB40" s="100">
        <v>0</v>
      </c>
      <c r="AC40" s="100">
        <f t="shared" si="2"/>
        <v>0</v>
      </c>
      <c r="AD40" s="141">
        <f t="shared" ref="AD40:AD52" si="3">SUM(AE40:AK40)</f>
        <v>30000</v>
      </c>
      <c r="AE40" s="100">
        <v>0</v>
      </c>
      <c r="AF40" s="100">
        <v>0</v>
      </c>
      <c r="AG40" s="100">
        <v>30000</v>
      </c>
      <c r="AH40" s="100">
        <v>0</v>
      </c>
      <c r="AI40" s="100">
        <v>0</v>
      </c>
      <c r="AJ40" s="100">
        <v>0</v>
      </c>
      <c r="AK40" s="100">
        <v>0</v>
      </c>
      <c r="AL40" s="100">
        <v>0</v>
      </c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</row>
    <row r="41" spans="1:72" ht="21" x14ac:dyDescent="0.25">
      <c r="A41" s="115" t="s">
        <v>32</v>
      </c>
      <c r="B41" s="113" t="s">
        <v>599</v>
      </c>
      <c r="C41" s="129" t="s">
        <v>732</v>
      </c>
      <c r="D41" s="112" t="s">
        <v>609</v>
      </c>
      <c r="E41" s="109" t="s">
        <v>456</v>
      </c>
      <c r="F41" s="129" t="s">
        <v>35</v>
      </c>
      <c r="G41" s="113" t="s">
        <v>283</v>
      </c>
      <c r="H41" s="132">
        <v>45734</v>
      </c>
      <c r="I41" s="132">
        <v>45741</v>
      </c>
      <c r="J41" s="104" t="s">
        <v>610</v>
      </c>
      <c r="K41" s="127" t="s">
        <v>611</v>
      </c>
      <c r="L41" s="100">
        <v>0</v>
      </c>
      <c r="M41" s="100" t="s">
        <v>466</v>
      </c>
      <c r="N41" s="100">
        <v>0</v>
      </c>
      <c r="O41" s="100" t="s">
        <v>466</v>
      </c>
      <c r="P41" s="100">
        <v>60000</v>
      </c>
      <c r="Q41" s="100" t="s">
        <v>455</v>
      </c>
      <c r="R41" s="100">
        <v>0</v>
      </c>
      <c r="S41" s="100" t="s">
        <v>466</v>
      </c>
      <c r="T41" s="100">
        <v>0</v>
      </c>
      <c r="U41" s="100" t="s">
        <v>466</v>
      </c>
      <c r="V41" s="100">
        <v>0</v>
      </c>
      <c r="W41" s="100" t="s">
        <v>466</v>
      </c>
      <c r="X41" s="100">
        <v>0</v>
      </c>
      <c r="Y41" s="100" t="s">
        <v>466</v>
      </c>
      <c r="Z41" s="100"/>
      <c r="AA41" s="100"/>
      <c r="AB41" s="100">
        <v>0</v>
      </c>
      <c r="AC41" s="100">
        <f t="shared" si="2"/>
        <v>0</v>
      </c>
      <c r="AD41" s="141">
        <f t="shared" si="3"/>
        <v>60000</v>
      </c>
      <c r="AE41" s="100">
        <v>0</v>
      </c>
      <c r="AF41" s="100">
        <v>0</v>
      </c>
      <c r="AG41" s="100">
        <v>0</v>
      </c>
      <c r="AH41" s="137">
        <v>60000</v>
      </c>
      <c r="AI41" s="100">
        <v>0</v>
      </c>
      <c r="AJ41" s="100">
        <v>0</v>
      </c>
      <c r="AK41" s="100">
        <v>0</v>
      </c>
      <c r="AL41" s="100">
        <v>0</v>
      </c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</row>
    <row r="42" spans="1:72" ht="20.25" x14ac:dyDescent="0.25">
      <c r="A42" s="115" t="s">
        <v>32</v>
      </c>
      <c r="B42" s="113" t="s">
        <v>612</v>
      </c>
      <c r="C42" s="129" t="s">
        <v>613</v>
      </c>
      <c r="D42" s="112" t="s">
        <v>613</v>
      </c>
      <c r="E42" s="113" t="s">
        <v>545</v>
      </c>
      <c r="F42" s="129" t="s">
        <v>614</v>
      </c>
      <c r="G42" s="113" t="s">
        <v>305</v>
      </c>
      <c r="H42" s="132">
        <v>45736</v>
      </c>
      <c r="I42" s="132">
        <v>45742</v>
      </c>
      <c r="J42" s="104" t="s">
        <v>615</v>
      </c>
      <c r="K42" s="127" t="s">
        <v>616</v>
      </c>
      <c r="L42" s="100">
        <v>0</v>
      </c>
      <c r="M42" s="100" t="s">
        <v>466</v>
      </c>
      <c r="N42" s="100">
        <v>0</v>
      </c>
      <c r="O42" s="100" t="s">
        <v>466</v>
      </c>
      <c r="P42" s="100">
        <v>30000</v>
      </c>
      <c r="Q42" s="100" t="s">
        <v>455</v>
      </c>
      <c r="R42" s="100">
        <v>0</v>
      </c>
      <c r="S42" s="100" t="s">
        <v>466</v>
      </c>
      <c r="T42" s="100">
        <v>0</v>
      </c>
      <c r="U42" s="100" t="s">
        <v>466</v>
      </c>
      <c r="V42" s="100">
        <v>0</v>
      </c>
      <c r="W42" s="100" t="s">
        <v>466</v>
      </c>
      <c r="X42" s="100">
        <v>0</v>
      </c>
      <c r="Y42" s="100" t="s">
        <v>466</v>
      </c>
      <c r="Z42" s="100"/>
      <c r="AA42" s="100"/>
      <c r="AB42" s="100">
        <v>0</v>
      </c>
      <c r="AC42" s="100">
        <f t="shared" si="2"/>
        <v>0</v>
      </c>
      <c r="AD42" s="141">
        <f t="shared" si="3"/>
        <v>30000</v>
      </c>
      <c r="AE42" s="100">
        <v>0</v>
      </c>
      <c r="AF42" s="100">
        <v>0</v>
      </c>
      <c r="AG42" s="100">
        <v>0</v>
      </c>
      <c r="AH42" s="100">
        <v>30000</v>
      </c>
      <c r="AI42" s="100">
        <v>0</v>
      </c>
      <c r="AJ42" s="100">
        <v>0</v>
      </c>
      <c r="AK42" s="100">
        <v>0</v>
      </c>
      <c r="AL42" s="100">
        <v>0</v>
      </c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</row>
    <row r="43" spans="1:72" ht="48" customHeight="1" x14ac:dyDescent="0.25">
      <c r="A43" s="115" t="s">
        <v>32</v>
      </c>
      <c r="B43" s="113" t="s">
        <v>473</v>
      </c>
      <c r="C43" s="129" t="s">
        <v>619</v>
      </c>
      <c r="D43" s="112" t="s">
        <v>620</v>
      </c>
      <c r="E43" s="113" t="s">
        <v>545</v>
      </c>
      <c r="F43" s="129" t="s">
        <v>620</v>
      </c>
      <c r="G43" s="113" t="s">
        <v>60</v>
      </c>
      <c r="H43" s="132">
        <v>45694</v>
      </c>
      <c r="I43" s="132">
        <v>45717</v>
      </c>
      <c r="J43" s="106" t="s">
        <v>49</v>
      </c>
      <c r="K43" s="127" t="s">
        <v>621</v>
      </c>
      <c r="L43" s="100">
        <v>0</v>
      </c>
      <c r="M43" s="100" t="s">
        <v>466</v>
      </c>
      <c r="N43" s="100">
        <v>0</v>
      </c>
      <c r="O43" s="100" t="s">
        <v>466</v>
      </c>
      <c r="P43" s="100">
        <v>65000</v>
      </c>
      <c r="Q43" s="100" t="s">
        <v>455</v>
      </c>
      <c r="R43" s="100">
        <v>65000</v>
      </c>
      <c r="S43" s="100" t="s">
        <v>455</v>
      </c>
      <c r="T43" s="100">
        <v>0</v>
      </c>
      <c r="U43" s="100" t="s">
        <v>466</v>
      </c>
      <c r="V43" s="100">
        <v>0</v>
      </c>
      <c r="W43" s="100" t="s">
        <v>466</v>
      </c>
      <c r="X43" s="100">
        <v>0</v>
      </c>
      <c r="Y43" s="100" t="s">
        <v>466</v>
      </c>
      <c r="Z43" s="100"/>
      <c r="AA43" s="100"/>
      <c r="AB43" s="100">
        <v>0</v>
      </c>
      <c r="AC43" s="100">
        <f t="shared" si="2"/>
        <v>0</v>
      </c>
      <c r="AD43" s="141">
        <f t="shared" si="3"/>
        <v>130000</v>
      </c>
      <c r="AE43" s="100">
        <v>0</v>
      </c>
      <c r="AF43" s="100">
        <v>0</v>
      </c>
      <c r="AG43" s="100">
        <v>0</v>
      </c>
      <c r="AH43" s="100">
        <v>130000</v>
      </c>
      <c r="AI43" s="100">
        <v>0</v>
      </c>
      <c r="AJ43" s="100">
        <v>0</v>
      </c>
      <c r="AK43" s="100">
        <v>0</v>
      </c>
      <c r="AL43" s="100">
        <v>0</v>
      </c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</row>
    <row r="44" spans="1:72" ht="20.25" x14ac:dyDescent="0.25">
      <c r="A44" s="115" t="s">
        <v>32</v>
      </c>
      <c r="B44" s="113" t="s">
        <v>473</v>
      </c>
      <c r="C44" s="129" t="s">
        <v>623</v>
      </c>
      <c r="D44" s="112" t="s">
        <v>624</v>
      </c>
      <c r="E44" s="113" t="s">
        <v>545</v>
      </c>
      <c r="F44" s="129" t="s">
        <v>624</v>
      </c>
      <c r="G44" s="113" t="s">
        <v>315</v>
      </c>
      <c r="H44" s="132">
        <v>45744</v>
      </c>
      <c r="I44" s="132">
        <v>45748</v>
      </c>
      <c r="J44" s="106" t="s">
        <v>625</v>
      </c>
      <c r="K44" s="127" t="s">
        <v>626</v>
      </c>
      <c r="L44" s="100">
        <v>0</v>
      </c>
      <c r="M44" s="100" t="s">
        <v>466</v>
      </c>
      <c r="N44" s="100">
        <v>0</v>
      </c>
      <c r="O44" s="100" t="s">
        <v>466</v>
      </c>
      <c r="P44" s="100">
        <v>0</v>
      </c>
      <c r="Q44" s="100" t="s">
        <v>466</v>
      </c>
      <c r="R44" s="100">
        <v>140000</v>
      </c>
      <c r="S44" s="100" t="s">
        <v>455</v>
      </c>
      <c r="T44" s="100">
        <v>0</v>
      </c>
      <c r="U44" s="100" t="s">
        <v>466</v>
      </c>
      <c r="V44" s="100">
        <v>0</v>
      </c>
      <c r="W44" s="100" t="s">
        <v>466</v>
      </c>
      <c r="X44" s="100">
        <v>0</v>
      </c>
      <c r="Y44" s="100" t="s">
        <v>466</v>
      </c>
      <c r="Z44" s="100"/>
      <c r="AA44" s="100"/>
      <c r="AB44" s="100">
        <v>0</v>
      </c>
      <c r="AC44" s="100">
        <f t="shared" si="2"/>
        <v>0</v>
      </c>
      <c r="AD44" s="141">
        <f t="shared" si="3"/>
        <v>140000</v>
      </c>
      <c r="AE44" s="100">
        <v>0</v>
      </c>
      <c r="AF44" s="100">
        <v>0</v>
      </c>
      <c r="AG44" s="100">
        <v>0</v>
      </c>
      <c r="AH44" s="100">
        <v>140000</v>
      </c>
      <c r="AI44" s="100">
        <v>0</v>
      </c>
      <c r="AJ44" s="100">
        <v>0</v>
      </c>
      <c r="AK44" s="100">
        <v>0</v>
      </c>
      <c r="AL44" s="100">
        <v>0</v>
      </c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</row>
    <row r="45" spans="1:72" ht="21" x14ac:dyDescent="0.25">
      <c r="A45" s="115" t="s">
        <v>21</v>
      </c>
      <c r="B45" s="113" t="s">
        <v>473</v>
      </c>
      <c r="C45" s="129" t="s">
        <v>628</v>
      </c>
      <c r="D45" s="112" t="s">
        <v>629</v>
      </c>
      <c r="E45" s="109" t="s">
        <v>456</v>
      </c>
      <c r="F45" s="129" t="s">
        <v>630</v>
      </c>
      <c r="G45" s="113" t="s">
        <v>38</v>
      </c>
      <c r="H45" s="132">
        <v>45687</v>
      </c>
      <c r="I45" s="132">
        <v>45708</v>
      </c>
      <c r="J45" s="104" t="s">
        <v>631</v>
      </c>
      <c r="K45" s="127" t="s">
        <v>632</v>
      </c>
      <c r="L45" s="100">
        <v>0</v>
      </c>
      <c r="M45" s="100" t="s">
        <v>466</v>
      </c>
      <c r="N45" s="100">
        <v>242400</v>
      </c>
      <c r="O45" s="100" t="s">
        <v>455</v>
      </c>
      <c r="P45" s="100">
        <v>0</v>
      </c>
      <c r="Q45" s="100" t="s">
        <v>466</v>
      </c>
      <c r="R45" s="100">
        <v>0</v>
      </c>
      <c r="S45" s="100" t="s">
        <v>466</v>
      </c>
      <c r="T45" s="100">
        <v>0</v>
      </c>
      <c r="U45" s="100" t="s">
        <v>466</v>
      </c>
      <c r="V45" s="100">
        <v>0</v>
      </c>
      <c r="W45" s="100" t="s">
        <v>466</v>
      </c>
      <c r="X45" s="100">
        <v>0</v>
      </c>
      <c r="Y45" s="100" t="s">
        <v>466</v>
      </c>
      <c r="Z45" s="100"/>
      <c r="AA45" s="100"/>
      <c r="AB45" s="100">
        <v>0</v>
      </c>
      <c r="AC45" s="100">
        <f t="shared" si="2"/>
        <v>0</v>
      </c>
      <c r="AD45" s="141">
        <f t="shared" si="3"/>
        <v>242400</v>
      </c>
      <c r="AE45" s="100">
        <v>0</v>
      </c>
      <c r="AF45" s="100">
        <v>0</v>
      </c>
      <c r="AG45" s="100">
        <v>242400</v>
      </c>
      <c r="AH45" s="100">
        <v>0</v>
      </c>
      <c r="AI45" s="100">
        <v>0</v>
      </c>
      <c r="AJ45" s="100">
        <v>0</v>
      </c>
      <c r="AK45" s="100">
        <v>0</v>
      </c>
      <c r="AL45" s="100">
        <v>0</v>
      </c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</row>
    <row r="46" spans="1:72" ht="21" x14ac:dyDescent="0.25">
      <c r="A46" s="115" t="s">
        <v>21</v>
      </c>
      <c r="B46" s="113" t="s">
        <v>473</v>
      </c>
      <c r="C46" s="129" t="s">
        <v>628</v>
      </c>
      <c r="D46" s="112" t="s">
        <v>629</v>
      </c>
      <c r="E46" s="109" t="s">
        <v>456</v>
      </c>
      <c r="F46" s="129" t="s">
        <v>630</v>
      </c>
      <c r="G46" s="113" t="s">
        <v>38</v>
      </c>
      <c r="H46" s="132">
        <v>45687</v>
      </c>
      <c r="I46" s="132">
        <v>45708</v>
      </c>
      <c r="J46" s="104" t="s">
        <v>633</v>
      </c>
      <c r="K46" s="127" t="s">
        <v>632</v>
      </c>
      <c r="L46" s="100">
        <v>0</v>
      </c>
      <c r="M46" s="100" t="s">
        <v>466</v>
      </c>
      <c r="N46" s="100">
        <v>46800</v>
      </c>
      <c r="O46" s="100" t="s">
        <v>455</v>
      </c>
      <c r="P46" s="100">
        <v>0</v>
      </c>
      <c r="Q46" s="100" t="s">
        <v>466</v>
      </c>
      <c r="R46" s="100">
        <v>0</v>
      </c>
      <c r="S46" s="100" t="s">
        <v>466</v>
      </c>
      <c r="T46" s="100">
        <v>0</v>
      </c>
      <c r="U46" s="100" t="s">
        <v>466</v>
      </c>
      <c r="V46" s="100">
        <v>0</v>
      </c>
      <c r="W46" s="100" t="s">
        <v>466</v>
      </c>
      <c r="X46" s="100">
        <v>0</v>
      </c>
      <c r="Y46" s="100" t="s">
        <v>466</v>
      </c>
      <c r="Z46" s="100"/>
      <c r="AA46" s="100"/>
      <c r="AB46" s="100">
        <v>0</v>
      </c>
      <c r="AC46" s="100">
        <f t="shared" si="2"/>
        <v>0</v>
      </c>
      <c r="AD46" s="141">
        <f t="shared" si="3"/>
        <v>46800</v>
      </c>
      <c r="AE46" s="100">
        <v>0</v>
      </c>
      <c r="AF46" s="100">
        <v>0</v>
      </c>
      <c r="AG46" s="100">
        <v>46800</v>
      </c>
      <c r="AH46" s="100">
        <v>0</v>
      </c>
      <c r="AI46" s="100">
        <v>0</v>
      </c>
      <c r="AJ46" s="100">
        <v>0</v>
      </c>
      <c r="AK46" s="100">
        <v>0</v>
      </c>
      <c r="AL46" s="100">
        <v>0</v>
      </c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</row>
    <row r="47" spans="1:72" ht="21" x14ac:dyDescent="0.25">
      <c r="A47" s="115" t="s">
        <v>88</v>
      </c>
      <c r="B47" s="113" t="s">
        <v>474</v>
      </c>
      <c r="C47" s="129" t="s">
        <v>646</v>
      </c>
      <c r="D47" s="112" t="s">
        <v>339</v>
      </c>
      <c r="E47" s="109" t="s">
        <v>456</v>
      </c>
      <c r="F47" s="129" t="s">
        <v>647</v>
      </c>
      <c r="G47" s="113" t="s">
        <v>648</v>
      </c>
      <c r="H47" s="132">
        <v>45749</v>
      </c>
      <c r="I47" s="132">
        <v>45770</v>
      </c>
      <c r="J47" s="106" t="s">
        <v>649</v>
      </c>
      <c r="K47" s="127" t="s">
        <v>650</v>
      </c>
      <c r="L47" s="100">
        <v>0</v>
      </c>
      <c r="M47" s="100" t="s">
        <v>466</v>
      </c>
      <c r="N47" s="100">
        <v>0</v>
      </c>
      <c r="O47" s="100" t="s">
        <v>466</v>
      </c>
      <c r="P47" s="100">
        <v>0</v>
      </c>
      <c r="Q47" s="100" t="s">
        <v>466</v>
      </c>
      <c r="R47" s="100">
        <v>10500</v>
      </c>
      <c r="S47" s="100" t="s">
        <v>455</v>
      </c>
      <c r="T47" s="100">
        <v>0</v>
      </c>
      <c r="U47" s="100" t="s">
        <v>466</v>
      </c>
      <c r="V47" s="100">
        <v>0</v>
      </c>
      <c r="W47" s="100" t="s">
        <v>466</v>
      </c>
      <c r="X47" s="100">
        <v>0</v>
      </c>
      <c r="Y47" s="100" t="s">
        <v>466</v>
      </c>
      <c r="Z47" s="100"/>
      <c r="AA47" s="100"/>
      <c r="AB47" s="100">
        <v>0</v>
      </c>
      <c r="AC47" s="100">
        <f t="shared" si="2"/>
        <v>0</v>
      </c>
      <c r="AD47" s="141">
        <f t="shared" si="3"/>
        <v>10500</v>
      </c>
      <c r="AE47" s="100">
        <v>0</v>
      </c>
      <c r="AF47" s="100">
        <v>0</v>
      </c>
      <c r="AG47" s="100">
        <v>0</v>
      </c>
      <c r="AH47" s="100">
        <v>0</v>
      </c>
      <c r="AI47" s="100">
        <v>10500</v>
      </c>
      <c r="AJ47" s="100">
        <v>0</v>
      </c>
      <c r="AK47" s="100">
        <v>0</v>
      </c>
      <c r="AL47" s="100">
        <v>0</v>
      </c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</row>
    <row r="48" spans="1:72" ht="21" x14ac:dyDescent="0.25">
      <c r="A48" s="115" t="s">
        <v>32</v>
      </c>
      <c r="B48" s="113" t="s">
        <v>474</v>
      </c>
      <c r="C48" s="129" t="s">
        <v>733</v>
      </c>
      <c r="D48" s="112" t="s">
        <v>651</v>
      </c>
      <c r="E48" s="109" t="s">
        <v>456</v>
      </c>
      <c r="F48" s="129" t="s">
        <v>651</v>
      </c>
      <c r="G48" s="113" t="s">
        <v>652</v>
      </c>
      <c r="H48" s="132">
        <v>45771</v>
      </c>
      <c r="I48" s="132">
        <v>45798</v>
      </c>
      <c r="J48" s="104" t="s">
        <v>653</v>
      </c>
      <c r="K48" s="127" t="s">
        <v>654</v>
      </c>
      <c r="L48" s="100">
        <v>0</v>
      </c>
      <c r="M48" s="100" t="s">
        <v>466</v>
      </c>
      <c r="N48" s="100">
        <v>0</v>
      </c>
      <c r="O48" s="100" t="s">
        <v>466</v>
      </c>
      <c r="P48" s="100">
        <v>0</v>
      </c>
      <c r="Q48" s="100" t="s">
        <v>466</v>
      </c>
      <c r="R48" s="100">
        <v>55800</v>
      </c>
      <c r="S48" s="100" t="s">
        <v>455</v>
      </c>
      <c r="T48" s="100">
        <v>0</v>
      </c>
      <c r="U48" s="100" t="s">
        <v>466</v>
      </c>
      <c r="V48" s="100">
        <v>0</v>
      </c>
      <c r="W48" s="100" t="s">
        <v>466</v>
      </c>
      <c r="X48" s="100">
        <v>0</v>
      </c>
      <c r="Y48" s="100" t="s">
        <v>466</v>
      </c>
      <c r="Z48" s="100"/>
      <c r="AA48" s="100"/>
      <c r="AB48" s="100">
        <v>0</v>
      </c>
      <c r="AC48" s="100">
        <f t="shared" si="2"/>
        <v>0</v>
      </c>
      <c r="AD48" s="141">
        <f t="shared" si="3"/>
        <v>55800</v>
      </c>
      <c r="AE48" s="100">
        <v>0</v>
      </c>
      <c r="AF48" s="100">
        <v>0</v>
      </c>
      <c r="AG48" s="100">
        <v>0</v>
      </c>
      <c r="AH48" s="100">
        <v>0</v>
      </c>
      <c r="AI48" s="100">
        <v>55800</v>
      </c>
      <c r="AJ48" s="100">
        <v>0</v>
      </c>
      <c r="AK48" s="100">
        <v>0</v>
      </c>
      <c r="AL48" s="100">
        <v>0</v>
      </c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</row>
    <row r="49" spans="1:72" ht="21" x14ac:dyDescent="0.25">
      <c r="A49" s="115" t="s">
        <v>32</v>
      </c>
      <c r="B49" s="113" t="s">
        <v>473</v>
      </c>
      <c r="C49" s="129" t="s">
        <v>663</v>
      </c>
      <c r="D49" s="112" t="s">
        <v>471</v>
      </c>
      <c r="E49" s="109" t="s">
        <v>456</v>
      </c>
      <c r="F49" s="129" t="s">
        <v>16</v>
      </c>
      <c r="G49" s="113" t="s">
        <v>664</v>
      </c>
      <c r="H49" s="132">
        <v>45771</v>
      </c>
      <c r="I49" s="132">
        <v>45778</v>
      </c>
      <c r="J49" s="104" t="s">
        <v>665</v>
      </c>
      <c r="K49" s="127" t="s">
        <v>666</v>
      </c>
      <c r="L49" s="100">
        <v>0</v>
      </c>
      <c r="M49" s="100" t="s">
        <v>466</v>
      </c>
      <c r="N49" s="100">
        <v>0</v>
      </c>
      <c r="O49" s="100" t="s">
        <v>466</v>
      </c>
      <c r="P49" s="100">
        <v>0</v>
      </c>
      <c r="Q49" s="100" t="s">
        <v>466</v>
      </c>
      <c r="R49" s="100">
        <v>0</v>
      </c>
      <c r="S49" s="100" t="s">
        <v>466</v>
      </c>
      <c r="T49" s="100">
        <v>32000</v>
      </c>
      <c r="U49" s="100" t="s">
        <v>455</v>
      </c>
      <c r="V49" s="100">
        <v>0</v>
      </c>
      <c r="W49" s="100" t="s">
        <v>466</v>
      </c>
      <c r="X49" s="100">
        <v>0</v>
      </c>
      <c r="Y49" s="100" t="s">
        <v>466</v>
      </c>
      <c r="Z49" s="100"/>
      <c r="AA49" s="100"/>
      <c r="AB49" s="100">
        <v>0</v>
      </c>
      <c r="AC49" s="100">
        <f t="shared" si="2"/>
        <v>0</v>
      </c>
      <c r="AD49" s="141">
        <f t="shared" si="3"/>
        <v>32000</v>
      </c>
      <c r="AE49" s="100">
        <v>0</v>
      </c>
      <c r="AF49" s="100">
        <v>0</v>
      </c>
      <c r="AG49" s="100">
        <v>0</v>
      </c>
      <c r="AH49" s="100">
        <v>0</v>
      </c>
      <c r="AI49" s="100">
        <v>32000</v>
      </c>
      <c r="AJ49" s="100">
        <v>0</v>
      </c>
      <c r="AK49" s="100">
        <v>0</v>
      </c>
      <c r="AL49" s="100">
        <v>0</v>
      </c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</row>
    <row r="50" spans="1:72" ht="21" x14ac:dyDescent="0.25">
      <c r="A50" s="115" t="s">
        <v>32</v>
      </c>
      <c r="B50" s="113" t="s">
        <v>473</v>
      </c>
      <c r="C50" s="129" t="s">
        <v>689</v>
      </c>
      <c r="D50" s="112" t="s">
        <v>689</v>
      </c>
      <c r="E50" s="109" t="s">
        <v>456</v>
      </c>
      <c r="F50" s="129" t="s">
        <v>690</v>
      </c>
      <c r="G50" s="113" t="s">
        <v>691</v>
      </c>
      <c r="H50" s="132">
        <v>45763</v>
      </c>
      <c r="I50" s="132">
        <v>45811</v>
      </c>
      <c r="J50" s="106" t="s">
        <v>692</v>
      </c>
      <c r="K50" s="127" t="s">
        <v>693</v>
      </c>
      <c r="L50" s="100">
        <v>0</v>
      </c>
      <c r="M50" s="100" t="s">
        <v>466</v>
      </c>
      <c r="N50" s="100">
        <v>0</v>
      </c>
      <c r="O50" s="100" t="s">
        <v>466</v>
      </c>
      <c r="P50" s="100">
        <v>0</v>
      </c>
      <c r="Q50" s="100" t="s">
        <v>466</v>
      </c>
      <c r="R50" s="100">
        <v>62930</v>
      </c>
      <c r="S50" s="100" t="s">
        <v>455</v>
      </c>
      <c r="T50" s="100">
        <v>0</v>
      </c>
      <c r="U50" s="100" t="s">
        <v>466</v>
      </c>
      <c r="V50" s="100">
        <v>0</v>
      </c>
      <c r="W50" s="100" t="s">
        <v>466</v>
      </c>
      <c r="X50" s="100">
        <v>0</v>
      </c>
      <c r="Y50" s="100" t="s">
        <v>466</v>
      </c>
      <c r="Z50" s="100"/>
      <c r="AA50" s="100"/>
      <c r="AB50" s="100">
        <v>0</v>
      </c>
      <c r="AC50" s="100">
        <f t="shared" si="2"/>
        <v>0</v>
      </c>
      <c r="AD50" s="141">
        <f t="shared" si="3"/>
        <v>62930</v>
      </c>
      <c r="AE50" s="100">
        <v>0</v>
      </c>
      <c r="AF50" s="100">
        <v>0</v>
      </c>
      <c r="AG50" s="100">
        <v>0</v>
      </c>
      <c r="AH50" s="100">
        <v>62930</v>
      </c>
      <c r="AI50" s="100">
        <v>0</v>
      </c>
      <c r="AJ50" s="100">
        <v>0</v>
      </c>
      <c r="AK50" s="100">
        <v>0</v>
      </c>
      <c r="AL50" s="100">
        <v>0</v>
      </c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</row>
    <row r="51" spans="1:72" ht="21" x14ac:dyDescent="0.25">
      <c r="A51" s="115" t="s">
        <v>32</v>
      </c>
      <c r="B51" s="113" t="s">
        <v>473</v>
      </c>
      <c r="C51" s="129" t="s">
        <v>694</v>
      </c>
      <c r="D51" s="112" t="s">
        <v>695</v>
      </c>
      <c r="E51" s="109" t="s">
        <v>456</v>
      </c>
      <c r="F51" s="129" t="s">
        <v>696</v>
      </c>
      <c r="G51" s="113" t="s">
        <v>697</v>
      </c>
      <c r="H51" s="132">
        <v>45789</v>
      </c>
      <c r="I51" s="132">
        <v>45810</v>
      </c>
      <c r="J51" s="104" t="s">
        <v>698</v>
      </c>
      <c r="K51" s="127" t="s">
        <v>650</v>
      </c>
      <c r="L51" s="100">
        <v>0</v>
      </c>
      <c r="M51" s="100" t="s">
        <v>466</v>
      </c>
      <c r="N51" s="100">
        <v>0</v>
      </c>
      <c r="O51" s="100" t="s">
        <v>466</v>
      </c>
      <c r="P51" s="100">
        <v>0</v>
      </c>
      <c r="Q51" s="100" t="s">
        <v>466</v>
      </c>
      <c r="R51" s="100">
        <v>0</v>
      </c>
      <c r="S51" s="100" t="s">
        <v>466</v>
      </c>
      <c r="T51" s="100">
        <v>65900</v>
      </c>
      <c r="U51" s="100" t="s">
        <v>455</v>
      </c>
      <c r="V51" s="100">
        <v>0</v>
      </c>
      <c r="W51" s="100" t="s">
        <v>466</v>
      </c>
      <c r="X51" s="100">
        <v>0</v>
      </c>
      <c r="Y51" s="100" t="s">
        <v>466</v>
      </c>
      <c r="Z51" s="100"/>
      <c r="AA51" s="100"/>
      <c r="AB51" s="100">
        <v>0</v>
      </c>
      <c r="AC51" s="100">
        <f t="shared" si="2"/>
        <v>0</v>
      </c>
      <c r="AD51" s="141">
        <f t="shared" si="3"/>
        <v>65900</v>
      </c>
      <c r="AE51" s="100">
        <v>0</v>
      </c>
      <c r="AF51" s="100">
        <v>0</v>
      </c>
      <c r="AG51" s="100">
        <v>0</v>
      </c>
      <c r="AH51" s="100">
        <v>0</v>
      </c>
      <c r="AI51" s="100">
        <v>65900</v>
      </c>
      <c r="AJ51" s="100">
        <v>0</v>
      </c>
      <c r="AK51" s="100">
        <v>0</v>
      </c>
      <c r="AL51" s="100">
        <v>0</v>
      </c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</row>
    <row r="52" spans="1:72" ht="21" x14ac:dyDescent="0.25">
      <c r="A52" s="113" t="s">
        <v>19</v>
      </c>
      <c r="B52" s="113" t="s">
        <v>473</v>
      </c>
      <c r="C52" s="114" t="s">
        <v>510</v>
      </c>
      <c r="D52" s="107" t="s">
        <v>186</v>
      </c>
      <c r="E52" s="109" t="s">
        <v>456</v>
      </c>
      <c r="F52" s="129" t="s">
        <v>186</v>
      </c>
      <c r="G52" s="111" t="s">
        <v>39</v>
      </c>
      <c r="H52" s="131">
        <v>44986</v>
      </c>
      <c r="I52" s="131">
        <v>44986</v>
      </c>
      <c r="J52" s="105" t="s">
        <v>304</v>
      </c>
      <c r="K52" s="116" t="s">
        <v>530</v>
      </c>
      <c r="L52" s="100">
        <v>10000</v>
      </c>
      <c r="M52" s="100" t="s">
        <v>455</v>
      </c>
      <c r="N52" s="100">
        <v>10000</v>
      </c>
      <c r="O52" s="100" t="s">
        <v>455</v>
      </c>
      <c r="P52" s="100">
        <v>0</v>
      </c>
      <c r="Q52" s="100" t="s">
        <v>466</v>
      </c>
      <c r="R52" s="100">
        <v>0</v>
      </c>
      <c r="S52" s="100" t="s">
        <v>466</v>
      </c>
      <c r="T52" s="100">
        <v>0</v>
      </c>
      <c r="U52" s="100" t="s">
        <v>466</v>
      </c>
      <c r="V52" s="100">
        <v>0</v>
      </c>
      <c r="W52" s="100" t="s">
        <v>466</v>
      </c>
      <c r="X52" s="100">
        <v>0</v>
      </c>
      <c r="Y52" s="100" t="s">
        <v>466</v>
      </c>
      <c r="Z52" s="100"/>
      <c r="AA52" s="100"/>
      <c r="AB52" s="100">
        <f>SUMIF(K52:V52,"&lt;0")</f>
        <v>0</v>
      </c>
      <c r="AC52" s="100">
        <f t="shared" si="2"/>
        <v>0</v>
      </c>
      <c r="AD52" s="141">
        <f t="shared" si="3"/>
        <v>20000</v>
      </c>
      <c r="AE52" s="100">
        <v>10000</v>
      </c>
      <c r="AF52" s="100">
        <v>10000</v>
      </c>
      <c r="AG52" s="100">
        <v>0</v>
      </c>
      <c r="AH52" s="100">
        <v>0</v>
      </c>
      <c r="AI52" s="100">
        <v>0</v>
      </c>
      <c r="AJ52" s="100">
        <v>0</v>
      </c>
      <c r="AK52" s="100">
        <v>0</v>
      </c>
      <c r="AL52" s="100">
        <v>0</v>
      </c>
      <c r="AM52" s="100"/>
      <c r="AN52" s="100"/>
    </row>
    <row r="53" spans="1:72" ht="20.25" x14ac:dyDescent="0.25">
      <c r="A53" s="113" t="s">
        <v>32</v>
      </c>
      <c r="B53" s="113" t="s">
        <v>473</v>
      </c>
      <c r="C53" s="114" t="s">
        <v>503</v>
      </c>
      <c r="D53" s="107" t="s">
        <v>504</v>
      </c>
      <c r="E53" s="113" t="s">
        <v>545</v>
      </c>
      <c r="F53" s="129" t="s">
        <v>35</v>
      </c>
      <c r="G53" s="111" t="s">
        <v>34</v>
      </c>
      <c r="H53" s="131">
        <v>45671</v>
      </c>
      <c r="I53" s="111" t="s">
        <v>592</v>
      </c>
      <c r="J53" s="106" t="s">
        <v>677</v>
      </c>
      <c r="K53" s="126" t="s">
        <v>505</v>
      </c>
      <c r="L53" s="100">
        <v>0</v>
      </c>
      <c r="M53" s="100" t="s">
        <v>466</v>
      </c>
      <c r="N53" s="100">
        <v>444700</v>
      </c>
      <c r="O53" s="100" t="s">
        <v>455</v>
      </c>
      <c r="P53" s="100">
        <v>117000</v>
      </c>
      <c r="Q53" s="100" t="s">
        <v>455</v>
      </c>
      <c r="R53" s="100">
        <v>117000</v>
      </c>
      <c r="S53" s="100" t="s">
        <v>455</v>
      </c>
      <c r="T53" s="100">
        <v>0</v>
      </c>
      <c r="U53" s="100" t="s">
        <v>466</v>
      </c>
      <c r="V53" s="100">
        <v>0</v>
      </c>
      <c r="W53" s="100" t="s">
        <v>466</v>
      </c>
      <c r="X53" s="100">
        <v>0</v>
      </c>
      <c r="Y53" s="100" t="s">
        <v>466</v>
      </c>
      <c r="Z53" s="100"/>
      <c r="AA53" s="100"/>
      <c r="AB53" s="100">
        <v>0</v>
      </c>
      <c r="AC53" s="100">
        <f t="shared" ref="AC53:AC71" si="4">SUMIF(L53:Y53,"&lt;0")</f>
        <v>0</v>
      </c>
      <c r="AD53" s="141">
        <f>SUM(9,AE53:AK53)</f>
        <v>678709</v>
      </c>
      <c r="AE53" s="100">
        <v>0</v>
      </c>
      <c r="AF53" s="100">
        <v>444700</v>
      </c>
      <c r="AG53" s="100">
        <v>0</v>
      </c>
      <c r="AH53" s="100">
        <v>117000</v>
      </c>
      <c r="AI53" s="100">
        <v>117000</v>
      </c>
      <c r="AJ53" s="100">
        <v>0</v>
      </c>
      <c r="AK53" s="100">
        <v>0</v>
      </c>
      <c r="AL53" s="100">
        <v>0</v>
      </c>
    </row>
    <row r="54" spans="1:72" ht="20.25" x14ac:dyDescent="0.25">
      <c r="A54" s="113" t="s">
        <v>32</v>
      </c>
      <c r="B54" s="113" t="s">
        <v>473</v>
      </c>
      <c r="C54" s="114" t="s">
        <v>503</v>
      </c>
      <c r="D54" s="107" t="s">
        <v>504</v>
      </c>
      <c r="E54" s="113" t="s">
        <v>545</v>
      </c>
      <c r="F54" s="129" t="s">
        <v>35</v>
      </c>
      <c r="G54" s="111" t="s">
        <v>34</v>
      </c>
      <c r="H54" s="131">
        <v>45671</v>
      </c>
      <c r="I54" s="111" t="s">
        <v>592</v>
      </c>
      <c r="J54" s="106" t="s">
        <v>678</v>
      </c>
      <c r="K54" s="126" t="s">
        <v>505</v>
      </c>
      <c r="L54" s="100">
        <v>0</v>
      </c>
      <c r="M54" s="100" t="s">
        <v>466</v>
      </c>
      <c r="N54" s="100">
        <v>433000</v>
      </c>
      <c r="O54" s="100" t="s">
        <v>455</v>
      </c>
      <c r="P54" s="100">
        <v>153000</v>
      </c>
      <c r="Q54" s="100" t="s">
        <v>455</v>
      </c>
      <c r="R54" s="100">
        <v>153000</v>
      </c>
      <c r="S54" s="100" t="s">
        <v>455</v>
      </c>
      <c r="T54" s="100">
        <v>0</v>
      </c>
      <c r="U54" s="100" t="s">
        <v>466</v>
      </c>
      <c r="V54" s="100">
        <v>0</v>
      </c>
      <c r="W54" s="100" t="s">
        <v>466</v>
      </c>
      <c r="X54" s="100">
        <v>0</v>
      </c>
      <c r="Y54" s="100" t="s">
        <v>466</v>
      </c>
      <c r="Z54" s="100"/>
      <c r="AA54" s="100"/>
      <c r="AB54" s="100">
        <v>0</v>
      </c>
      <c r="AC54" s="100">
        <f t="shared" si="4"/>
        <v>0</v>
      </c>
      <c r="AD54" s="141">
        <f>SUM(9,AE54:AK54)</f>
        <v>739009</v>
      </c>
      <c r="AE54" s="100">
        <v>0</v>
      </c>
      <c r="AF54" s="100">
        <v>433000</v>
      </c>
      <c r="AG54" s="100">
        <v>0</v>
      </c>
      <c r="AH54" s="100">
        <v>153000</v>
      </c>
      <c r="AI54" s="100">
        <v>153000</v>
      </c>
      <c r="AJ54" s="100">
        <v>0</v>
      </c>
      <c r="AK54" s="100">
        <v>0</v>
      </c>
      <c r="AL54" s="100">
        <v>0</v>
      </c>
    </row>
    <row r="55" spans="1:72" ht="20.25" x14ac:dyDescent="0.25">
      <c r="A55" s="113" t="s">
        <v>32</v>
      </c>
      <c r="B55" s="113" t="s">
        <v>473</v>
      </c>
      <c r="C55" s="114" t="s">
        <v>503</v>
      </c>
      <c r="D55" s="107" t="s">
        <v>504</v>
      </c>
      <c r="E55" s="113" t="s">
        <v>545</v>
      </c>
      <c r="F55" s="129" t="s">
        <v>35</v>
      </c>
      <c r="G55" s="111" t="s">
        <v>34</v>
      </c>
      <c r="H55" s="131">
        <v>45671</v>
      </c>
      <c r="I55" s="111" t="s">
        <v>592</v>
      </c>
      <c r="J55" s="106" t="s">
        <v>679</v>
      </c>
      <c r="K55" s="126" t="s">
        <v>505</v>
      </c>
      <c r="L55" s="100">
        <v>0</v>
      </c>
      <c r="M55" s="100" t="s">
        <v>466</v>
      </c>
      <c r="N55" s="100">
        <v>275700</v>
      </c>
      <c r="O55" s="100" t="s">
        <v>455</v>
      </c>
      <c r="P55" s="100">
        <v>97200</v>
      </c>
      <c r="Q55" s="100" t="s">
        <v>455</v>
      </c>
      <c r="R55" s="100">
        <v>97200</v>
      </c>
      <c r="S55" s="100" t="s">
        <v>455</v>
      </c>
      <c r="T55" s="100">
        <v>0</v>
      </c>
      <c r="U55" s="100" t="s">
        <v>466</v>
      </c>
      <c r="V55" s="100">
        <v>0</v>
      </c>
      <c r="W55" s="100" t="s">
        <v>466</v>
      </c>
      <c r="X55" s="100">
        <v>0</v>
      </c>
      <c r="Y55" s="100" t="s">
        <v>466</v>
      </c>
      <c r="Z55" s="100"/>
      <c r="AA55" s="100"/>
      <c r="AB55" s="100">
        <v>0</v>
      </c>
      <c r="AC55" s="100">
        <f t="shared" si="4"/>
        <v>0</v>
      </c>
      <c r="AD55" s="141">
        <f>SUM(9,AE55:AK55)</f>
        <v>470109</v>
      </c>
      <c r="AE55" s="100">
        <v>0</v>
      </c>
      <c r="AF55" s="100">
        <v>275700</v>
      </c>
      <c r="AG55" s="100">
        <v>0</v>
      </c>
      <c r="AH55" s="100">
        <v>97200</v>
      </c>
      <c r="AI55" s="100">
        <v>97200</v>
      </c>
      <c r="AJ55" s="100">
        <v>0</v>
      </c>
      <c r="AK55" s="100">
        <v>0</v>
      </c>
      <c r="AL55" s="100">
        <v>0</v>
      </c>
    </row>
    <row r="56" spans="1:72" ht="20.25" x14ac:dyDescent="0.25">
      <c r="A56" s="113" t="s">
        <v>32</v>
      </c>
      <c r="B56" s="113" t="s">
        <v>473</v>
      </c>
      <c r="C56" s="114" t="s">
        <v>503</v>
      </c>
      <c r="D56" s="107" t="s">
        <v>504</v>
      </c>
      <c r="E56" s="113" t="s">
        <v>545</v>
      </c>
      <c r="F56" s="129" t="s">
        <v>35</v>
      </c>
      <c r="G56" s="111" t="s">
        <v>34</v>
      </c>
      <c r="H56" s="131">
        <v>45671</v>
      </c>
      <c r="I56" s="111" t="s">
        <v>592</v>
      </c>
      <c r="J56" s="106" t="s">
        <v>680</v>
      </c>
      <c r="K56" s="126" t="s">
        <v>505</v>
      </c>
      <c r="L56" s="100">
        <v>0</v>
      </c>
      <c r="M56" s="100" t="s">
        <v>466</v>
      </c>
      <c r="N56" s="100">
        <v>0</v>
      </c>
      <c r="O56" s="100" t="s">
        <v>466</v>
      </c>
      <c r="P56" s="100">
        <v>36720</v>
      </c>
      <c r="Q56" s="100" t="s">
        <v>455</v>
      </c>
      <c r="R56" s="100">
        <v>36720</v>
      </c>
      <c r="S56" s="100" t="s">
        <v>455</v>
      </c>
      <c r="T56" s="100">
        <v>0</v>
      </c>
      <c r="U56" s="100" t="s">
        <v>466</v>
      </c>
      <c r="V56" s="100">
        <v>0</v>
      </c>
      <c r="W56" s="100" t="s">
        <v>466</v>
      </c>
      <c r="X56" s="100">
        <v>0</v>
      </c>
      <c r="Y56" s="100" t="s">
        <v>466</v>
      </c>
      <c r="Z56" s="100"/>
      <c r="AA56" s="100"/>
      <c r="AB56" s="100">
        <v>0</v>
      </c>
      <c r="AC56" s="100">
        <f t="shared" si="4"/>
        <v>0</v>
      </c>
      <c r="AD56" s="141">
        <f>SUM(9,AE56:AK56)</f>
        <v>73409</v>
      </c>
      <c r="AE56" s="100">
        <v>0</v>
      </c>
      <c r="AF56" s="100">
        <v>0</v>
      </c>
      <c r="AG56" s="100">
        <v>0</v>
      </c>
      <c r="AH56" s="100">
        <v>0</v>
      </c>
      <c r="AI56" s="100">
        <v>73400</v>
      </c>
      <c r="AJ56" s="100">
        <v>0</v>
      </c>
      <c r="AK56" s="100">
        <v>0</v>
      </c>
      <c r="AL56" s="100">
        <v>0</v>
      </c>
    </row>
    <row r="57" spans="1:72" ht="20.25" x14ac:dyDescent="0.25">
      <c r="A57" s="113" t="s">
        <v>32</v>
      </c>
      <c r="B57" s="113" t="s">
        <v>473</v>
      </c>
      <c r="C57" s="114" t="s">
        <v>503</v>
      </c>
      <c r="D57" s="107" t="s">
        <v>504</v>
      </c>
      <c r="E57" s="113" t="s">
        <v>545</v>
      </c>
      <c r="F57" s="129" t="s">
        <v>35</v>
      </c>
      <c r="G57" s="115" t="s">
        <v>293</v>
      </c>
      <c r="H57" s="130" t="s">
        <v>595</v>
      </c>
      <c r="I57" s="111" t="s">
        <v>592</v>
      </c>
      <c r="J57" s="106" t="s">
        <v>294</v>
      </c>
      <c r="K57" s="126" t="s">
        <v>505</v>
      </c>
      <c r="L57" s="100">
        <v>0</v>
      </c>
      <c r="M57" s="100" t="s">
        <v>466</v>
      </c>
      <c r="N57" s="100">
        <v>36720</v>
      </c>
      <c r="O57" s="100" t="s">
        <v>455</v>
      </c>
      <c r="P57" s="100">
        <v>0</v>
      </c>
      <c r="Q57" s="100" t="s">
        <v>466</v>
      </c>
      <c r="R57" s="100">
        <v>0</v>
      </c>
      <c r="S57" s="100" t="s">
        <v>466</v>
      </c>
      <c r="T57" s="100">
        <v>0</v>
      </c>
      <c r="U57" s="100" t="s">
        <v>466</v>
      </c>
      <c r="V57" s="100">
        <v>0</v>
      </c>
      <c r="W57" s="100" t="s">
        <v>466</v>
      </c>
      <c r="X57" s="100">
        <v>0</v>
      </c>
      <c r="Y57" s="100" t="s">
        <v>466</v>
      </c>
      <c r="Z57" s="100"/>
      <c r="AA57" s="100"/>
      <c r="AB57" s="100">
        <v>0</v>
      </c>
      <c r="AC57" s="100">
        <f t="shared" si="4"/>
        <v>0</v>
      </c>
      <c r="AD57" s="141">
        <f>SUM(9,AE57:AK57)</f>
        <v>36729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36720</v>
      </c>
      <c r="AK57" s="100">
        <v>0</v>
      </c>
      <c r="AL57" s="100">
        <v>0</v>
      </c>
    </row>
    <row r="58" spans="1:72" ht="21" x14ac:dyDescent="0.25">
      <c r="A58" s="115" t="s">
        <v>32</v>
      </c>
      <c r="B58" s="113" t="s">
        <v>473</v>
      </c>
      <c r="C58" s="114" t="s">
        <v>525</v>
      </c>
      <c r="D58" s="107" t="s">
        <v>526</v>
      </c>
      <c r="E58" s="109" t="s">
        <v>456</v>
      </c>
      <c r="F58" s="129" t="s">
        <v>58</v>
      </c>
      <c r="G58" s="113" t="s">
        <v>59</v>
      </c>
      <c r="H58" s="132">
        <v>45700</v>
      </c>
      <c r="I58" s="132">
        <v>45709</v>
      </c>
      <c r="J58" s="104" t="s">
        <v>721</v>
      </c>
      <c r="K58" s="127" t="s">
        <v>551</v>
      </c>
      <c r="L58" s="100">
        <v>0</v>
      </c>
      <c r="M58" s="100" t="s">
        <v>466</v>
      </c>
      <c r="N58" s="100">
        <v>34000</v>
      </c>
      <c r="O58" s="100" t="s">
        <v>455</v>
      </c>
      <c r="P58" s="100">
        <v>14000</v>
      </c>
      <c r="Q58" s="100" t="s">
        <v>455</v>
      </c>
      <c r="R58" s="100">
        <v>14000</v>
      </c>
      <c r="S58" s="100" t="s">
        <v>455</v>
      </c>
      <c r="T58" s="100">
        <v>14000</v>
      </c>
      <c r="U58" s="100" t="s">
        <v>455</v>
      </c>
      <c r="V58" s="100">
        <v>0</v>
      </c>
      <c r="W58" s="100" t="s">
        <v>466</v>
      </c>
      <c r="X58" s="100">
        <v>0</v>
      </c>
      <c r="Y58" s="100" t="s">
        <v>466</v>
      </c>
      <c r="Z58" s="100"/>
      <c r="AA58" s="100"/>
      <c r="AB58" s="100">
        <v>0</v>
      </c>
      <c r="AC58" s="100">
        <f t="shared" si="4"/>
        <v>0</v>
      </c>
      <c r="AD58" s="141">
        <f t="shared" ref="AD58:AD71" si="5">SUM(AE58:AK58)</f>
        <v>76000</v>
      </c>
      <c r="AE58" s="100">
        <v>0</v>
      </c>
      <c r="AF58" s="100">
        <v>0</v>
      </c>
      <c r="AG58" s="100">
        <v>34000</v>
      </c>
      <c r="AH58" s="100">
        <v>14000</v>
      </c>
      <c r="AI58" s="100">
        <v>14000</v>
      </c>
      <c r="AJ58" s="100">
        <v>14000</v>
      </c>
      <c r="AK58" s="100">
        <v>0</v>
      </c>
      <c r="AL58" s="100">
        <v>0</v>
      </c>
    </row>
    <row r="59" spans="1:72" ht="21" x14ac:dyDescent="0.25">
      <c r="A59" s="115" t="s">
        <v>19</v>
      </c>
      <c r="B59" s="113" t="s">
        <v>474</v>
      </c>
      <c r="C59" s="129" t="s">
        <v>522</v>
      </c>
      <c r="D59" s="112" t="s">
        <v>523</v>
      </c>
      <c r="E59" s="109" t="s">
        <v>456</v>
      </c>
      <c r="F59" s="129" t="s">
        <v>181</v>
      </c>
      <c r="G59" s="113" t="s">
        <v>182</v>
      </c>
      <c r="H59" s="132">
        <v>46009</v>
      </c>
      <c r="I59" s="113" t="s">
        <v>656</v>
      </c>
      <c r="J59" s="104" t="s">
        <v>183</v>
      </c>
      <c r="K59" s="127" t="s">
        <v>553</v>
      </c>
      <c r="L59" s="100">
        <v>20339</v>
      </c>
      <c r="M59" s="100" t="s">
        <v>455</v>
      </c>
      <c r="N59" s="100">
        <v>20339</v>
      </c>
      <c r="O59" s="100" t="s">
        <v>455</v>
      </c>
      <c r="P59" s="100">
        <v>20339</v>
      </c>
      <c r="Q59" s="100" t="s">
        <v>455</v>
      </c>
      <c r="R59" s="100">
        <v>0</v>
      </c>
      <c r="S59" s="100" t="s">
        <v>466</v>
      </c>
      <c r="T59" s="100">
        <v>0</v>
      </c>
      <c r="U59" s="100" t="s">
        <v>466</v>
      </c>
      <c r="V59" s="100">
        <v>0</v>
      </c>
      <c r="W59" s="100" t="s">
        <v>466</v>
      </c>
      <c r="X59" s="100">
        <v>0</v>
      </c>
      <c r="Y59" s="100" t="s">
        <v>466</v>
      </c>
      <c r="Z59" s="100"/>
      <c r="AA59" s="100"/>
      <c r="AB59" s="100">
        <v>0</v>
      </c>
      <c r="AC59" s="100">
        <f t="shared" si="4"/>
        <v>0</v>
      </c>
      <c r="AD59" s="141">
        <f t="shared" si="5"/>
        <v>61017</v>
      </c>
      <c r="AE59" s="100">
        <v>0</v>
      </c>
      <c r="AF59" s="100">
        <v>0</v>
      </c>
      <c r="AG59" s="100">
        <v>0</v>
      </c>
      <c r="AH59" s="100">
        <v>61017</v>
      </c>
      <c r="AI59" s="100">
        <v>0</v>
      </c>
      <c r="AJ59" s="100">
        <v>0</v>
      </c>
      <c r="AK59" s="100">
        <v>0</v>
      </c>
      <c r="AL59" s="100">
        <v>0</v>
      </c>
    </row>
    <row r="60" spans="1:72" ht="21" x14ac:dyDescent="0.25">
      <c r="A60" s="115" t="s">
        <v>32</v>
      </c>
      <c r="B60" s="113" t="s">
        <v>473</v>
      </c>
      <c r="C60" s="129" t="s">
        <v>689</v>
      </c>
      <c r="D60" s="112" t="s">
        <v>689</v>
      </c>
      <c r="E60" s="109" t="s">
        <v>456</v>
      </c>
      <c r="F60" s="129" t="s">
        <v>690</v>
      </c>
      <c r="G60" s="113" t="s">
        <v>691</v>
      </c>
      <c r="H60" s="132">
        <v>45763</v>
      </c>
      <c r="I60" s="132">
        <v>45811</v>
      </c>
      <c r="J60" s="106" t="s">
        <v>692</v>
      </c>
      <c r="K60" s="127" t="s">
        <v>693</v>
      </c>
      <c r="L60" s="100">
        <v>0</v>
      </c>
      <c r="M60" s="100" t="s">
        <v>466</v>
      </c>
      <c r="N60" s="100">
        <v>0</v>
      </c>
      <c r="O60" s="100" t="s">
        <v>466</v>
      </c>
      <c r="P60" s="100">
        <v>0</v>
      </c>
      <c r="Q60" s="100" t="s">
        <v>466</v>
      </c>
      <c r="R60" s="100">
        <v>62930</v>
      </c>
      <c r="S60" s="100" t="s">
        <v>455</v>
      </c>
      <c r="T60" s="100">
        <v>0</v>
      </c>
      <c r="U60" s="100" t="s">
        <v>466</v>
      </c>
      <c r="V60" s="100">
        <v>0</v>
      </c>
      <c r="W60" s="100" t="s">
        <v>466</v>
      </c>
      <c r="X60" s="100">
        <v>0</v>
      </c>
      <c r="Y60" s="100" t="s">
        <v>466</v>
      </c>
      <c r="Z60" s="100"/>
      <c r="AA60" s="100"/>
      <c r="AB60" s="100">
        <v>0</v>
      </c>
      <c r="AC60" s="100">
        <f t="shared" si="4"/>
        <v>0</v>
      </c>
      <c r="AD60" s="141">
        <f t="shared" si="5"/>
        <v>62930</v>
      </c>
      <c r="AE60" s="100">
        <v>0</v>
      </c>
      <c r="AF60" s="100">
        <v>0</v>
      </c>
      <c r="AG60" s="100">
        <v>0</v>
      </c>
      <c r="AH60" s="100">
        <v>0</v>
      </c>
      <c r="AI60" s="100">
        <v>0</v>
      </c>
      <c r="AJ60" s="100">
        <v>62930</v>
      </c>
      <c r="AK60" s="100">
        <v>0</v>
      </c>
      <c r="AL60" s="100">
        <v>0</v>
      </c>
    </row>
    <row r="61" spans="1:72" ht="21" x14ac:dyDescent="0.25">
      <c r="A61" s="115" t="s">
        <v>21</v>
      </c>
      <c r="B61" s="113" t="s">
        <v>473</v>
      </c>
      <c r="C61" s="129" t="s">
        <v>739</v>
      </c>
      <c r="D61" s="112" t="s">
        <v>739</v>
      </c>
      <c r="E61" s="109" t="s">
        <v>456</v>
      </c>
      <c r="F61" s="129" t="s">
        <v>740</v>
      </c>
      <c r="G61" s="113" t="s">
        <v>741</v>
      </c>
      <c r="H61" s="132">
        <v>45811</v>
      </c>
      <c r="I61" s="132">
        <v>45835</v>
      </c>
      <c r="J61" s="104" t="s">
        <v>742</v>
      </c>
      <c r="K61" s="127" t="s">
        <v>743</v>
      </c>
      <c r="L61" s="100">
        <v>0</v>
      </c>
      <c r="M61" s="100" t="s">
        <v>466</v>
      </c>
      <c r="N61" s="100">
        <v>0</v>
      </c>
      <c r="O61" s="100" t="s">
        <v>466</v>
      </c>
      <c r="P61" s="100">
        <v>0</v>
      </c>
      <c r="Q61" s="100" t="s">
        <v>466</v>
      </c>
      <c r="R61" s="100">
        <v>0</v>
      </c>
      <c r="S61" s="100" t="s">
        <v>466</v>
      </c>
      <c r="T61" s="100">
        <v>0</v>
      </c>
      <c r="U61" s="100" t="s">
        <v>466</v>
      </c>
      <c r="V61" s="100">
        <v>20000</v>
      </c>
      <c r="W61" s="100" t="s">
        <v>455</v>
      </c>
      <c r="X61" s="100">
        <v>0</v>
      </c>
      <c r="Y61" s="100" t="s">
        <v>466</v>
      </c>
      <c r="Z61" s="100"/>
      <c r="AA61" s="100"/>
      <c r="AB61" s="100">
        <v>0</v>
      </c>
      <c r="AC61" s="100">
        <f t="shared" si="4"/>
        <v>0</v>
      </c>
      <c r="AD61" s="141">
        <f t="shared" si="5"/>
        <v>20000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20000</v>
      </c>
      <c r="AL61" s="100">
        <v>0</v>
      </c>
    </row>
    <row r="62" spans="1:72" ht="21" x14ac:dyDescent="0.25">
      <c r="A62" s="115" t="s">
        <v>32</v>
      </c>
      <c r="B62" s="113" t="s">
        <v>473</v>
      </c>
      <c r="C62" s="129" t="s">
        <v>694</v>
      </c>
      <c r="D62" s="112" t="s">
        <v>695</v>
      </c>
      <c r="E62" s="109" t="s">
        <v>456</v>
      </c>
      <c r="F62" s="129" t="s">
        <v>696</v>
      </c>
      <c r="G62" s="113" t="s">
        <v>697</v>
      </c>
      <c r="H62" s="132">
        <v>45789</v>
      </c>
      <c r="I62" s="132">
        <v>45810</v>
      </c>
      <c r="J62" s="104" t="s">
        <v>698</v>
      </c>
      <c r="K62" s="127" t="s">
        <v>650</v>
      </c>
      <c r="L62" s="100">
        <v>0</v>
      </c>
      <c r="M62" s="100" t="s">
        <v>466</v>
      </c>
      <c r="N62" s="100">
        <v>0</v>
      </c>
      <c r="O62" s="100" t="s">
        <v>466</v>
      </c>
      <c r="P62" s="100">
        <v>0</v>
      </c>
      <c r="Q62" s="100" t="s">
        <v>466</v>
      </c>
      <c r="R62" s="100">
        <v>0</v>
      </c>
      <c r="S62" s="100" t="s">
        <v>466</v>
      </c>
      <c r="T62" s="100">
        <v>65900</v>
      </c>
      <c r="U62" s="100" t="s">
        <v>455</v>
      </c>
      <c r="V62" s="100">
        <v>0</v>
      </c>
      <c r="W62" s="100" t="s">
        <v>466</v>
      </c>
      <c r="X62" s="100">
        <v>0</v>
      </c>
      <c r="Y62" s="100" t="s">
        <v>466</v>
      </c>
      <c r="Z62" s="100"/>
      <c r="AA62" s="100"/>
      <c r="AB62" s="100">
        <v>0</v>
      </c>
      <c r="AC62" s="100">
        <f t="shared" si="4"/>
        <v>0</v>
      </c>
      <c r="AD62" s="141">
        <f t="shared" si="5"/>
        <v>65900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65900</v>
      </c>
      <c r="AK62" s="100">
        <v>0</v>
      </c>
      <c r="AL62" s="100">
        <v>0</v>
      </c>
    </row>
    <row r="63" spans="1:72" ht="39.75" customHeight="1" x14ac:dyDescent="0.25">
      <c r="A63" s="113" t="s">
        <v>5</v>
      </c>
      <c r="B63" s="113" t="s">
        <v>473</v>
      </c>
      <c r="C63" s="114" t="s">
        <v>476</v>
      </c>
      <c r="D63" s="107" t="s">
        <v>471</v>
      </c>
      <c r="E63" s="109" t="s">
        <v>456</v>
      </c>
      <c r="F63" s="129" t="s">
        <v>16</v>
      </c>
      <c r="G63" s="111" t="s">
        <v>37</v>
      </c>
      <c r="H63" s="131">
        <v>45611</v>
      </c>
      <c r="I63" s="131">
        <v>45615</v>
      </c>
      <c r="J63" s="104" t="s">
        <v>627</v>
      </c>
      <c r="K63" s="116" t="s">
        <v>536</v>
      </c>
      <c r="L63" s="100">
        <v>55491.71</v>
      </c>
      <c r="M63" s="100" t="s">
        <v>455</v>
      </c>
      <c r="N63" s="100">
        <v>54000</v>
      </c>
      <c r="O63" s="100" t="s">
        <v>455</v>
      </c>
      <c r="P63" s="100">
        <v>54000</v>
      </c>
      <c r="Q63" s="100" t="s">
        <v>455</v>
      </c>
      <c r="R63" s="100">
        <v>54000</v>
      </c>
      <c r="S63" s="100" t="s">
        <v>455</v>
      </c>
      <c r="T63" s="100">
        <v>29536.58</v>
      </c>
      <c r="U63" s="100" t="s">
        <v>455</v>
      </c>
      <c r="V63" s="100">
        <v>0</v>
      </c>
      <c r="W63" s="100" t="s">
        <v>466</v>
      </c>
      <c r="X63" s="100">
        <v>0</v>
      </c>
      <c r="Y63" s="100" t="s">
        <v>466</v>
      </c>
      <c r="Z63" s="100">
        <v>0</v>
      </c>
      <c r="AA63" s="100" t="s">
        <v>466</v>
      </c>
      <c r="AB63" s="100">
        <v>0</v>
      </c>
      <c r="AC63" s="100">
        <f t="shared" si="4"/>
        <v>0</v>
      </c>
      <c r="AD63" s="141">
        <f>L63+N63+P63+R63+T63+V63</f>
        <v>247028.28999999998</v>
      </c>
      <c r="AE63" s="100">
        <v>132464.07999999999</v>
      </c>
      <c r="AF63" s="100">
        <f>SUMIF(O63:AD63,"&lt;0")</f>
        <v>0</v>
      </c>
      <c r="AG63" s="100">
        <v>54000</v>
      </c>
      <c r="AH63" s="100">
        <v>54000</v>
      </c>
      <c r="AI63" s="100">
        <f>SUMIF(R63:AG63,"&lt;0")</f>
        <v>0</v>
      </c>
      <c r="AJ63" s="100">
        <v>54000</v>
      </c>
      <c r="AK63" s="100">
        <f>SUMIF(T63:AI63,"&lt;0")</f>
        <v>0</v>
      </c>
      <c r="AL63" s="100"/>
    </row>
    <row r="64" spans="1:72" ht="51.75" customHeight="1" x14ac:dyDescent="0.25">
      <c r="A64" s="115" t="s">
        <v>88</v>
      </c>
      <c r="B64" s="113" t="s">
        <v>473</v>
      </c>
      <c r="C64" s="129" t="s">
        <v>681</v>
      </c>
      <c r="D64" s="112" t="s">
        <v>682</v>
      </c>
      <c r="E64" s="113" t="s">
        <v>545</v>
      </c>
      <c r="F64" s="129" t="s">
        <v>683</v>
      </c>
      <c r="G64" s="113" t="s">
        <v>684</v>
      </c>
      <c r="H64" s="132">
        <v>45772</v>
      </c>
      <c r="I64" s="132">
        <v>45778</v>
      </c>
      <c r="J64" s="104" t="s">
        <v>843</v>
      </c>
      <c r="K64" s="127" t="s">
        <v>685</v>
      </c>
      <c r="L64" s="100">
        <v>0</v>
      </c>
      <c r="M64" s="100" t="s">
        <v>466</v>
      </c>
      <c r="N64" s="100">
        <v>0</v>
      </c>
      <c r="O64" s="100" t="s">
        <v>466</v>
      </c>
      <c r="P64" s="100">
        <v>0</v>
      </c>
      <c r="Q64" s="100" t="s">
        <v>466</v>
      </c>
      <c r="R64" s="100">
        <v>0</v>
      </c>
      <c r="S64" s="100" t="s">
        <v>466</v>
      </c>
      <c r="T64" s="100">
        <v>250000</v>
      </c>
      <c r="U64" s="100" t="s">
        <v>455</v>
      </c>
      <c r="V64" s="100">
        <v>50000</v>
      </c>
      <c r="W64" s="100" t="s">
        <v>455</v>
      </c>
      <c r="X64" s="100">
        <v>25000</v>
      </c>
      <c r="Y64" s="100" t="s">
        <v>455</v>
      </c>
      <c r="Z64" s="100">
        <v>25000</v>
      </c>
      <c r="AA64" s="100" t="s">
        <v>455</v>
      </c>
      <c r="AB64" s="100">
        <v>0</v>
      </c>
      <c r="AC64" s="100">
        <f t="shared" si="4"/>
        <v>0</v>
      </c>
      <c r="AD64" s="141">
        <f t="shared" ref="AD64:AD69" si="6">SUM(AE64:AK64)</f>
        <v>250000</v>
      </c>
      <c r="AE64" s="100">
        <v>0</v>
      </c>
      <c r="AF64" s="100">
        <v>0</v>
      </c>
      <c r="AG64" s="100">
        <v>0</v>
      </c>
      <c r="AH64" s="100">
        <v>0</v>
      </c>
      <c r="AI64" s="100">
        <v>250000</v>
      </c>
      <c r="AJ64" s="100">
        <v>0</v>
      </c>
      <c r="AK64" s="100">
        <v>0</v>
      </c>
      <c r="AL64" s="100"/>
    </row>
    <row r="65" spans="1:72" ht="63" customHeight="1" x14ac:dyDescent="0.25">
      <c r="A65" s="115" t="s">
        <v>88</v>
      </c>
      <c r="B65" s="113" t="s">
        <v>473</v>
      </c>
      <c r="C65" s="129" t="s">
        <v>681</v>
      </c>
      <c r="D65" s="112" t="s">
        <v>682</v>
      </c>
      <c r="E65" s="113" t="s">
        <v>545</v>
      </c>
      <c r="F65" s="129" t="s">
        <v>683</v>
      </c>
      <c r="G65" s="113" t="s">
        <v>686</v>
      </c>
      <c r="H65" s="132">
        <v>45772</v>
      </c>
      <c r="I65" s="132">
        <v>45778</v>
      </c>
      <c r="J65" s="104" t="s">
        <v>843</v>
      </c>
      <c r="K65" s="127" t="s">
        <v>685</v>
      </c>
      <c r="L65" s="100">
        <v>0</v>
      </c>
      <c r="M65" s="100" t="s">
        <v>466</v>
      </c>
      <c r="N65" s="100">
        <v>0</v>
      </c>
      <c r="O65" s="100" t="s">
        <v>466</v>
      </c>
      <c r="P65" s="100">
        <v>0</v>
      </c>
      <c r="Q65" s="100" t="s">
        <v>466</v>
      </c>
      <c r="R65" s="100">
        <v>0</v>
      </c>
      <c r="S65" s="100" t="s">
        <v>466</v>
      </c>
      <c r="T65" s="100">
        <v>307600</v>
      </c>
      <c r="U65" s="100" t="s">
        <v>455</v>
      </c>
      <c r="V65" s="100">
        <v>50815.21</v>
      </c>
      <c r="W65" s="100" t="s">
        <v>455</v>
      </c>
      <c r="X65" s="100">
        <v>85923.92</v>
      </c>
      <c r="Y65" s="100" t="s">
        <v>455</v>
      </c>
      <c r="Z65" s="100">
        <v>33260.870000000003</v>
      </c>
      <c r="AA65" s="100" t="s">
        <v>455</v>
      </c>
      <c r="AB65" s="100">
        <v>0</v>
      </c>
      <c r="AC65" s="100">
        <f t="shared" si="4"/>
        <v>0</v>
      </c>
      <c r="AD65" s="141">
        <f t="shared" si="6"/>
        <v>307600</v>
      </c>
      <c r="AE65" s="100">
        <v>0</v>
      </c>
      <c r="AF65" s="100">
        <v>0</v>
      </c>
      <c r="AG65" s="100">
        <v>0</v>
      </c>
      <c r="AH65" s="100">
        <v>0</v>
      </c>
      <c r="AI65" s="100">
        <v>307600</v>
      </c>
      <c r="AJ65" s="100">
        <v>0</v>
      </c>
      <c r="AK65" s="100">
        <v>0</v>
      </c>
      <c r="AL65" s="100"/>
    </row>
    <row r="66" spans="1:72" ht="21" x14ac:dyDescent="0.25">
      <c r="A66" s="115" t="s">
        <v>32</v>
      </c>
      <c r="B66" s="113" t="s">
        <v>473</v>
      </c>
      <c r="C66" s="114" t="s">
        <v>760</v>
      </c>
      <c r="D66" s="107" t="s">
        <v>761</v>
      </c>
      <c r="E66" s="109" t="s">
        <v>456</v>
      </c>
      <c r="F66" s="129" t="s">
        <v>761</v>
      </c>
      <c r="G66" s="111" t="s">
        <v>762</v>
      </c>
      <c r="H66" s="131">
        <v>45811</v>
      </c>
      <c r="I66" s="131">
        <v>45849</v>
      </c>
      <c r="J66" s="104" t="s">
        <v>763</v>
      </c>
      <c r="K66" s="116" t="s">
        <v>764</v>
      </c>
      <c r="L66" s="100">
        <v>0</v>
      </c>
      <c r="M66" s="100" t="s">
        <v>466</v>
      </c>
      <c r="N66" s="100">
        <v>0</v>
      </c>
      <c r="O66" s="100" t="s">
        <v>466</v>
      </c>
      <c r="P66" s="100">
        <v>0</v>
      </c>
      <c r="Q66" s="100" t="s">
        <v>466</v>
      </c>
      <c r="R66" s="100">
        <v>0</v>
      </c>
      <c r="S66" s="100" t="s">
        <v>466</v>
      </c>
      <c r="T66" s="100">
        <v>0</v>
      </c>
      <c r="U66" s="100" t="s">
        <v>466</v>
      </c>
      <c r="V66" s="100">
        <v>52800</v>
      </c>
      <c r="W66" s="100" t="s">
        <v>455</v>
      </c>
      <c r="X66" s="100">
        <v>0</v>
      </c>
      <c r="Y66" s="100" t="s">
        <v>466</v>
      </c>
      <c r="Z66" s="100">
        <v>0</v>
      </c>
      <c r="AA66" s="100" t="s">
        <v>466</v>
      </c>
      <c r="AB66" s="100">
        <f>SUMIF(K66:V66,"&lt;0")</f>
        <v>0</v>
      </c>
      <c r="AC66" s="100">
        <f t="shared" si="4"/>
        <v>0</v>
      </c>
      <c r="AD66" s="141">
        <f t="shared" si="6"/>
        <v>0</v>
      </c>
      <c r="AE66" s="100">
        <v>0</v>
      </c>
      <c r="AF66" s="100">
        <v>0</v>
      </c>
      <c r="AG66" s="100">
        <v>0</v>
      </c>
      <c r="AH66" s="100">
        <v>0</v>
      </c>
      <c r="AI66" s="100">
        <v>0</v>
      </c>
      <c r="AJ66" s="100">
        <v>0</v>
      </c>
      <c r="AK66" s="100">
        <v>0</v>
      </c>
      <c r="AL66" s="100">
        <v>0</v>
      </c>
    </row>
    <row r="67" spans="1:72" ht="21" x14ac:dyDescent="0.25">
      <c r="A67" s="115" t="s">
        <v>21</v>
      </c>
      <c r="B67" s="113" t="s">
        <v>473</v>
      </c>
      <c r="C67" s="129" t="s">
        <v>739</v>
      </c>
      <c r="D67" s="112" t="s">
        <v>739</v>
      </c>
      <c r="E67" s="109" t="s">
        <v>456</v>
      </c>
      <c r="F67" s="129" t="s">
        <v>740</v>
      </c>
      <c r="G67" s="113" t="s">
        <v>741</v>
      </c>
      <c r="H67" s="132">
        <v>45811</v>
      </c>
      <c r="I67" s="132">
        <v>45835</v>
      </c>
      <c r="J67" s="104" t="s">
        <v>842</v>
      </c>
      <c r="K67" s="127" t="s">
        <v>743</v>
      </c>
      <c r="L67" s="100">
        <v>0</v>
      </c>
      <c r="M67" s="100" t="s">
        <v>466</v>
      </c>
      <c r="N67" s="100">
        <v>0</v>
      </c>
      <c r="O67" s="100" t="s">
        <v>466</v>
      </c>
      <c r="P67" s="100">
        <v>0</v>
      </c>
      <c r="Q67" s="100" t="s">
        <v>466</v>
      </c>
      <c r="R67" s="100">
        <v>0</v>
      </c>
      <c r="S67" s="100" t="s">
        <v>466</v>
      </c>
      <c r="T67" s="100">
        <v>0</v>
      </c>
      <c r="U67" s="100" t="s">
        <v>466</v>
      </c>
      <c r="V67" s="100">
        <v>20000</v>
      </c>
      <c r="W67" s="100" t="s">
        <v>455</v>
      </c>
      <c r="X67" s="100">
        <v>0</v>
      </c>
      <c r="Y67" s="100" t="s">
        <v>466</v>
      </c>
      <c r="Z67" s="100">
        <v>0</v>
      </c>
      <c r="AA67" s="100" t="s">
        <v>466</v>
      </c>
      <c r="AB67" s="100">
        <v>0</v>
      </c>
      <c r="AC67" s="100">
        <f t="shared" si="4"/>
        <v>0</v>
      </c>
      <c r="AD67" s="141">
        <f t="shared" si="6"/>
        <v>20000</v>
      </c>
      <c r="AE67" s="100">
        <v>0</v>
      </c>
      <c r="AF67" s="100">
        <v>0</v>
      </c>
      <c r="AG67" s="100">
        <v>0</v>
      </c>
      <c r="AH67" s="100">
        <v>0</v>
      </c>
      <c r="AI67" s="100">
        <v>0</v>
      </c>
      <c r="AJ67" s="100">
        <v>0</v>
      </c>
      <c r="AK67" s="100">
        <v>20000</v>
      </c>
      <c r="AL67" s="100">
        <v>0</v>
      </c>
    </row>
    <row r="68" spans="1:72" ht="20.25" x14ac:dyDescent="0.25">
      <c r="A68" s="115" t="s">
        <v>32</v>
      </c>
      <c r="B68" s="113" t="s">
        <v>473</v>
      </c>
      <c r="C68" s="129" t="s">
        <v>924</v>
      </c>
      <c r="D68" s="112" t="s">
        <v>924</v>
      </c>
      <c r="E68" s="113" t="s">
        <v>545</v>
      </c>
      <c r="F68" s="129" t="s">
        <v>925</v>
      </c>
      <c r="G68" s="113" t="s">
        <v>926</v>
      </c>
      <c r="H68" s="132">
        <v>45834</v>
      </c>
      <c r="I68" s="132">
        <v>45839</v>
      </c>
      <c r="J68" s="104" t="s">
        <v>927</v>
      </c>
      <c r="K68" s="127" t="s">
        <v>928</v>
      </c>
      <c r="L68" s="100">
        <v>0</v>
      </c>
      <c r="M68" s="100" t="s">
        <v>466</v>
      </c>
      <c r="N68" s="100">
        <v>0</v>
      </c>
      <c r="O68" s="100" t="s">
        <v>466</v>
      </c>
      <c r="P68" s="100">
        <v>0</v>
      </c>
      <c r="Q68" s="100" t="s">
        <v>466</v>
      </c>
      <c r="R68" s="100">
        <v>0</v>
      </c>
      <c r="S68" s="100" t="s">
        <v>466</v>
      </c>
      <c r="T68" s="100">
        <v>0</v>
      </c>
      <c r="U68" s="100" t="s">
        <v>466</v>
      </c>
      <c r="V68" s="100">
        <v>0</v>
      </c>
      <c r="W68" s="100" t="s">
        <v>466</v>
      </c>
      <c r="X68" s="100">
        <v>25000</v>
      </c>
      <c r="Y68" s="100" t="s">
        <v>455</v>
      </c>
      <c r="Z68" s="100">
        <v>0</v>
      </c>
      <c r="AA68" s="100" t="s">
        <v>466</v>
      </c>
      <c r="AB68" s="100">
        <v>0</v>
      </c>
      <c r="AC68" s="100">
        <v>0</v>
      </c>
      <c r="AD68" s="141">
        <f t="shared" si="6"/>
        <v>25000</v>
      </c>
      <c r="AE68" s="100">
        <v>0</v>
      </c>
      <c r="AF68" s="100">
        <v>0</v>
      </c>
      <c r="AG68" s="100">
        <v>0</v>
      </c>
      <c r="AH68" s="100">
        <v>0</v>
      </c>
      <c r="AI68" s="100">
        <v>0</v>
      </c>
      <c r="AJ68" s="100">
        <v>0</v>
      </c>
      <c r="AK68" s="100">
        <v>25000</v>
      </c>
      <c r="AL68" s="100">
        <v>0</v>
      </c>
    </row>
    <row r="69" spans="1:72" ht="20.25" x14ac:dyDescent="0.25">
      <c r="A69" s="115" t="s">
        <v>929</v>
      </c>
      <c r="B69" s="113" t="s">
        <v>473</v>
      </c>
      <c r="C69" s="129" t="s">
        <v>930</v>
      </c>
      <c r="D69" s="112" t="s">
        <v>6</v>
      </c>
      <c r="E69" s="113" t="s">
        <v>545</v>
      </c>
      <c r="F69" s="129" t="s">
        <v>6</v>
      </c>
      <c r="G69" s="113" t="s">
        <v>931</v>
      </c>
      <c r="H69" s="132">
        <v>45825</v>
      </c>
      <c r="I69" s="132">
        <v>45840</v>
      </c>
      <c r="J69" s="104" t="s">
        <v>650</v>
      </c>
      <c r="K69" s="127" t="s">
        <v>932</v>
      </c>
      <c r="L69" s="100">
        <v>0</v>
      </c>
      <c r="M69" s="100" t="s">
        <v>466</v>
      </c>
      <c r="N69" s="100">
        <v>0</v>
      </c>
      <c r="O69" s="100" t="s">
        <v>466</v>
      </c>
      <c r="P69" s="100">
        <v>0</v>
      </c>
      <c r="Q69" s="100" t="s">
        <v>466</v>
      </c>
      <c r="R69" s="100">
        <v>0</v>
      </c>
      <c r="S69" s="100" t="s">
        <v>466</v>
      </c>
      <c r="T69" s="100">
        <v>0</v>
      </c>
      <c r="U69" s="100" t="s">
        <v>466</v>
      </c>
      <c r="V69" s="100">
        <v>0</v>
      </c>
      <c r="W69" s="100" t="s">
        <v>466</v>
      </c>
      <c r="X69" s="100">
        <v>18000</v>
      </c>
      <c r="Y69" s="100" t="s">
        <v>455</v>
      </c>
      <c r="Z69" s="100">
        <v>0</v>
      </c>
      <c r="AA69" s="100" t="s">
        <v>466</v>
      </c>
      <c r="AB69" s="100">
        <v>0</v>
      </c>
      <c r="AC69" s="100">
        <v>0</v>
      </c>
      <c r="AD69" s="141">
        <f t="shared" si="6"/>
        <v>18000</v>
      </c>
      <c r="AE69" s="100">
        <v>0</v>
      </c>
      <c r="AF69" s="100">
        <v>0</v>
      </c>
      <c r="AG69" s="100">
        <v>0</v>
      </c>
      <c r="AH69" s="100">
        <v>0</v>
      </c>
      <c r="AI69" s="100">
        <v>0</v>
      </c>
      <c r="AJ69" s="100">
        <v>0</v>
      </c>
      <c r="AK69" s="100">
        <v>18000</v>
      </c>
      <c r="AL69" s="100">
        <v>0</v>
      </c>
    </row>
    <row r="70" spans="1:72" ht="20.25" x14ac:dyDescent="0.25">
      <c r="A70" s="115" t="s">
        <v>5</v>
      </c>
      <c r="B70" s="113" t="s">
        <v>473</v>
      </c>
      <c r="C70" s="129" t="s">
        <v>933</v>
      </c>
      <c r="D70" s="112" t="s">
        <v>934</v>
      </c>
      <c r="E70" s="113" t="s">
        <v>545</v>
      </c>
      <c r="F70" s="129" t="s">
        <v>935</v>
      </c>
      <c r="G70" s="113" t="s">
        <v>936</v>
      </c>
      <c r="H70" s="132">
        <v>45849</v>
      </c>
      <c r="I70" s="132">
        <v>45864</v>
      </c>
      <c r="J70" s="104" t="s">
        <v>937</v>
      </c>
      <c r="K70" s="127" t="s">
        <v>603</v>
      </c>
      <c r="L70" s="100">
        <v>0</v>
      </c>
      <c r="M70" s="100" t="s">
        <v>466</v>
      </c>
      <c r="N70" s="100">
        <v>0</v>
      </c>
      <c r="O70" s="100" t="s">
        <v>466</v>
      </c>
      <c r="P70" s="100">
        <v>0</v>
      </c>
      <c r="Q70" s="100" t="s">
        <v>466</v>
      </c>
      <c r="R70" s="100">
        <v>0</v>
      </c>
      <c r="S70" s="100" t="s">
        <v>466</v>
      </c>
      <c r="T70" s="100">
        <v>0</v>
      </c>
      <c r="U70" s="100" t="s">
        <v>466</v>
      </c>
      <c r="V70" s="100">
        <v>0</v>
      </c>
      <c r="W70" s="100" t="s">
        <v>466</v>
      </c>
      <c r="X70" s="100">
        <v>40000</v>
      </c>
      <c r="Y70" s="100" t="s">
        <v>455</v>
      </c>
      <c r="Z70" s="100">
        <v>0</v>
      </c>
      <c r="AA70" s="100" t="s">
        <v>466</v>
      </c>
      <c r="AB70" s="100">
        <v>0</v>
      </c>
      <c r="AC70" s="100">
        <v>0</v>
      </c>
      <c r="AD70" s="141"/>
      <c r="AE70" s="100">
        <v>0</v>
      </c>
      <c r="AF70" s="100">
        <v>0</v>
      </c>
      <c r="AG70" s="100">
        <v>0</v>
      </c>
      <c r="AH70" s="100">
        <v>0</v>
      </c>
      <c r="AI70" s="100">
        <v>0</v>
      </c>
      <c r="AJ70" s="100">
        <v>0</v>
      </c>
      <c r="AK70" s="100">
        <v>0</v>
      </c>
      <c r="AL70" s="100">
        <v>40000</v>
      </c>
    </row>
    <row r="71" spans="1:72" ht="21" x14ac:dyDescent="0.25">
      <c r="A71" s="115" t="s">
        <v>32</v>
      </c>
      <c r="B71" s="113" t="s">
        <v>473</v>
      </c>
      <c r="C71" s="114" t="s">
        <v>760</v>
      </c>
      <c r="D71" s="107" t="s">
        <v>761</v>
      </c>
      <c r="E71" s="109" t="s">
        <v>456</v>
      </c>
      <c r="F71" s="129" t="s">
        <v>761</v>
      </c>
      <c r="G71" s="111" t="s">
        <v>762</v>
      </c>
      <c r="H71" s="131">
        <v>45811</v>
      </c>
      <c r="I71" s="131">
        <v>45849</v>
      </c>
      <c r="J71" s="104" t="s">
        <v>763</v>
      </c>
      <c r="K71" s="116" t="s">
        <v>764</v>
      </c>
      <c r="L71" s="100">
        <v>0</v>
      </c>
      <c r="M71" s="100" t="s">
        <v>466</v>
      </c>
      <c r="N71" s="100">
        <v>0</v>
      </c>
      <c r="O71" s="100" t="s">
        <v>466</v>
      </c>
      <c r="P71" s="100">
        <v>0</v>
      </c>
      <c r="Q71" s="100" t="s">
        <v>466</v>
      </c>
      <c r="R71" s="100">
        <v>0</v>
      </c>
      <c r="S71" s="100" t="s">
        <v>466</v>
      </c>
      <c r="T71" s="100">
        <v>0</v>
      </c>
      <c r="U71" s="100" t="s">
        <v>466</v>
      </c>
      <c r="V71" s="100">
        <v>52800</v>
      </c>
      <c r="W71" s="100" t="s">
        <v>455</v>
      </c>
      <c r="X71" s="100">
        <v>0</v>
      </c>
      <c r="Y71" s="100" t="s">
        <v>466</v>
      </c>
      <c r="Z71" s="100"/>
      <c r="AA71" s="100"/>
      <c r="AB71" s="100">
        <f>SUMIF(K71:V71,"&lt;0")</f>
        <v>0</v>
      </c>
      <c r="AC71" s="100">
        <f t="shared" si="4"/>
        <v>0</v>
      </c>
      <c r="AD71" s="141">
        <f t="shared" si="5"/>
        <v>0</v>
      </c>
      <c r="AE71" s="100">
        <v>0</v>
      </c>
      <c r="AF71" s="100">
        <v>0</v>
      </c>
      <c r="AG71" s="100">
        <v>0</v>
      </c>
      <c r="AH71" s="100">
        <v>0</v>
      </c>
      <c r="AI71" s="100">
        <v>0</v>
      </c>
      <c r="AJ71" s="100">
        <v>0</v>
      </c>
      <c r="AK71" s="100">
        <v>0</v>
      </c>
      <c r="AL71" s="100">
        <v>0</v>
      </c>
    </row>
    <row r="72" spans="1:72" ht="20.25" x14ac:dyDescent="0.3">
      <c r="A72" s="22"/>
      <c r="B72" s="22"/>
      <c r="C72" s="22"/>
      <c r="D72" s="22"/>
      <c r="E72" s="22"/>
      <c r="F72" s="22"/>
      <c r="G72" s="22"/>
      <c r="H72" s="22"/>
      <c r="I72" s="22"/>
      <c r="J72" s="136"/>
      <c r="K72" s="136"/>
      <c r="L72" s="128">
        <f t="shared" ref="L72:Y72" si="7">SUM(L2:L71)</f>
        <v>1302606.95</v>
      </c>
      <c r="M72" s="128">
        <f t="shared" si="7"/>
        <v>0</v>
      </c>
      <c r="N72" s="128">
        <f t="shared" si="7"/>
        <v>2874935.23</v>
      </c>
      <c r="O72" s="128">
        <f t="shared" si="7"/>
        <v>0</v>
      </c>
      <c r="P72" s="128">
        <f t="shared" si="7"/>
        <v>3601440.76</v>
      </c>
      <c r="Q72" s="128">
        <f t="shared" si="7"/>
        <v>0</v>
      </c>
      <c r="R72" s="128">
        <f t="shared" si="7"/>
        <v>2992780</v>
      </c>
      <c r="S72" s="128">
        <f t="shared" si="7"/>
        <v>0</v>
      </c>
      <c r="T72" s="128">
        <f t="shared" si="7"/>
        <v>2710136.58</v>
      </c>
      <c r="U72" s="128">
        <f t="shared" si="7"/>
        <v>0</v>
      </c>
      <c r="V72" s="128">
        <f t="shared" si="7"/>
        <v>246415.21</v>
      </c>
      <c r="W72" s="128">
        <f t="shared" si="7"/>
        <v>0</v>
      </c>
      <c r="X72" s="128">
        <f t="shared" si="7"/>
        <v>193923.91999999998</v>
      </c>
      <c r="Y72" s="128">
        <f t="shared" si="7"/>
        <v>0</v>
      </c>
      <c r="Z72" s="128"/>
      <c r="AA72" s="128"/>
      <c r="AB72" s="128">
        <f t="shared" ref="AB72:AI72" si="8">SUM(AB2:AB71)</f>
        <v>0</v>
      </c>
      <c r="AC72" s="128">
        <f t="shared" si="8"/>
        <v>0</v>
      </c>
      <c r="AD72" s="128">
        <f t="shared" si="8"/>
        <v>15186909.66</v>
      </c>
      <c r="AE72" s="128">
        <f t="shared" si="8"/>
        <v>2141433.86</v>
      </c>
      <c r="AF72" s="128">
        <f t="shared" si="8"/>
        <v>2296160.02</v>
      </c>
      <c r="AG72" s="128">
        <f t="shared" si="8"/>
        <v>2651600</v>
      </c>
      <c r="AH72" s="128">
        <f t="shared" si="8"/>
        <v>3016123.23</v>
      </c>
      <c r="AI72" s="128">
        <f t="shared" si="8"/>
        <v>2764600</v>
      </c>
      <c r="AJ72" s="128">
        <f>SUM(AJ1:AJ71)</f>
        <v>2281383.34</v>
      </c>
      <c r="AK72" s="128">
        <f>SUM(AK2:AK71)</f>
        <v>83000</v>
      </c>
      <c r="AL72" s="128">
        <f>SUM(AL2:AL71)</f>
        <v>40000</v>
      </c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00"/>
      <c r="BM72" s="100"/>
      <c r="BN72" s="100"/>
      <c r="BO72" s="100"/>
      <c r="BP72" s="100"/>
      <c r="BQ72" s="100"/>
      <c r="BR72" s="100"/>
      <c r="BS72" s="100"/>
      <c r="BT72" s="100"/>
    </row>
    <row r="73" spans="1:72" x14ac:dyDescent="0.25">
      <c r="AD73" t="s">
        <v>738</v>
      </c>
    </row>
    <row r="75" spans="1:72" ht="20.25" x14ac:dyDescent="0.25">
      <c r="AC75" s="100">
        <f>SUM(L72:AB72)</f>
        <v>13922238.65</v>
      </c>
      <c r="AD75" s="100">
        <f>AD72</f>
        <v>15186909.66</v>
      </c>
    </row>
    <row r="76" spans="1:72" ht="20.25" x14ac:dyDescent="0.25">
      <c r="AD76" s="142">
        <f>AD75-AC75</f>
        <v>1264671.0099999998</v>
      </c>
    </row>
  </sheetData>
  <autoFilter ref="A1:AK73" xr:uid="{389ADBB9-7503-42AB-8AD8-ABD106B0AF40}"/>
  <pageMargins left="0.7" right="0.7" top="0.75" bottom="0.75" header="0.3" footer="0.3"/>
  <pageSetup paperSize="8" scale="23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85A4-49DE-44E9-AAB3-E8070F646B3E}">
  <sheetPr>
    <pageSetUpPr fitToPage="1"/>
  </sheetPr>
  <dimension ref="A7:J439"/>
  <sheetViews>
    <sheetView topLeftCell="A7" zoomScale="70" zoomScaleNormal="70" workbookViewId="0">
      <selection activeCell="H23" sqref="F23:H23"/>
    </sheetView>
  </sheetViews>
  <sheetFormatPr defaultRowHeight="15" x14ac:dyDescent="0.25"/>
  <cols>
    <col min="3" max="3" width="7.42578125" customWidth="1"/>
    <col min="4" max="4" width="27.5703125" customWidth="1"/>
    <col min="5" max="5" width="69.28515625" customWidth="1"/>
    <col min="6" max="6" width="104.7109375" customWidth="1"/>
    <col min="7" max="9" width="32.5703125" customWidth="1"/>
    <col min="10" max="10" width="26.140625" customWidth="1"/>
  </cols>
  <sheetData>
    <row r="7" spans="4:10" ht="18" customHeight="1" x14ac:dyDescent="0.25">
      <c r="D7" s="2" t="s">
        <v>68</v>
      </c>
      <c r="E7" s="2" t="s">
        <v>69</v>
      </c>
      <c r="F7" s="2" t="s">
        <v>70</v>
      </c>
      <c r="G7" s="2" t="s">
        <v>76</v>
      </c>
      <c r="H7" s="2" t="s">
        <v>749</v>
      </c>
      <c r="I7" s="2" t="s">
        <v>75</v>
      </c>
      <c r="J7" s="2" t="s">
        <v>71</v>
      </c>
    </row>
    <row r="8" spans="4:10" ht="18.75" x14ac:dyDescent="0.25">
      <c r="D8" s="3" t="s">
        <v>21</v>
      </c>
      <c r="E8" s="4" t="s">
        <v>151</v>
      </c>
      <c r="F8" s="3" t="s">
        <v>152</v>
      </c>
      <c r="G8" s="5">
        <v>30000</v>
      </c>
      <c r="H8" s="5">
        <v>30000</v>
      </c>
      <c r="I8" s="3" t="s">
        <v>153</v>
      </c>
      <c r="J8" s="6" t="s">
        <v>0</v>
      </c>
    </row>
    <row r="9" spans="4:10" ht="18.75" x14ac:dyDescent="0.25">
      <c r="D9" s="3" t="s">
        <v>32</v>
      </c>
      <c r="E9" s="4" t="s">
        <v>72</v>
      </c>
      <c r="F9" s="3" t="s">
        <v>73</v>
      </c>
      <c r="G9" s="5">
        <v>9000</v>
      </c>
      <c r="H9" s="5">
        <v>9000</v>
      </c>
      <c r="I9" s="3" t="s">
        <v>77</v>
      </c>
      <c r="J9" s="6" t="s">
        <v>0</v>
      </c>
    </row>
    <row r="10" spans="4:10" ht="18.75" x14ac:dyDescent="0.25">
      <c r="D10" s="3" t="s">
        <v>32</v>
      </c>
      <c r="E10" s="4" t="s">
        <v>72</v>
      </c>
      <c r="F10" s="3" t="s">
        <v>74</v>
      </c>
      <c r="G10" s="5">
        <v>14000</v>
      </c>
      <c r="H10" s="5">
        <v>10598</v>
      </c>
      <c r="I10" s="3" t="s">
        <v>77</v>
      </c>
      <c r="J10" s="6" t="s">
        <v>0</v>
      </c>
    </row>
    <row r="11" spans="4:10" ht="18.75" x14ac:dyDescent="0.25">
      <c r="D11" s="3" t="s">
        <v>32</v>
      </c>
      <c r="E11" s="4" t="s">
        <v>78</v>
      </c>
      <c r="F11" s="3" t="s">
        <v>79</v>
      </c>
      <c r="G11" s="5">
        <v>9000</v>
      </c>
      <c r="H11" s="5">
        <v>9000</v>
      </c>
      <c r="I11" s="3" t="s">
        <v>77</v>
      </c>
      <c r="J11" s="6" t="s">
        <v>0</v>
      </c>
    </row>
    <row r="12" spans="4:10" ht="18.75" x14ac:dyDescent="0.25">
      <c r="D12" s="3" t="s">
        <v>32</v>
      </c>
      <c r="E12" s="4" t="s">
        <v>78</v>
      </c>
      <c r="F12" s="3" t="s">
        <v>80</v>
      </c>
      <c r="G12" s="5">
        <v>14000</v>
      </c>
      <c r="H12" s="5">
        <v>10598</v>
      </c>
      <c r="I12" s="3" t="s">
        <v>77</v>
      </c>
      <c r="J12" s="6" t="s">
        <v>0</v>
      </c>
    </row>
    <row r="13" spans="4:10" ht="18.75" x14ac:dyDescent="0.25">
      <c r="D13" s="3" t="s">
        <v>32</v>
      </c>
      <c r="E13" s="4" t="s">
        <v>72</v>
      </c>
      <c r="F13" s="3" t="s">
        <v>81</v>
      </c>
      <c r="G13" s="5">
        <v>9000</v>
      </c>
      <c r="H13" s="5">
        <v>9000</v>
      </c>
      <c r="I13" s="3" t="s">
        <v>77</v>
      </c>
      <c r="J13" s="6" t="s">
        <v>0</v>
      </c>
    </row>
    <row r="14" spans="4:10" ht="18.75" x14ac:dyDescent="0.25">
      <c r="D14" s="3" t="s">
        <v>21</v>
      </c>
      <c r="E14" s="4" t="s">
        <v>82</v>
      </c>
      <c r="F14" s="3" t="s">
        <v>83</v>
      </c>
      <c r="G14" s="5">
        <v>70000</v>
      </c>
      <c r="H14" s="5">
        <v>41200</v>
      </c>
      <c r="I14" s="3" t="s">
        <v>84</v>
      </c>
      <c r="J14" s="6" t="s">
        <v>0</v>
      </c>
    </row>
    <row r="15" spans="4:10" ht="18.75" x14ac:dyDescent="0.25">
      <c r="D15" s="3" t="s">
        <v>32</v>
      </c>
      <c r="E15" s="4" t="s">
        <v>85</v>
      </c>
      <c r="F15" s="3" t="s">
        <v>86</v>
      </c>
      <c r="G15" s="5">
        <v>8500</v>
      </c>
      <c r="H15" s="5">
        <v>8500</v>
      </c>
      <c r="I15" s="3" t="s">
        <v>84</v>
      </c>
      <c r="J15" s="6" t="s">
        <v>0</v>
      </c>
    </row>
    <row r="16" spans="4:10" ht="18.75" x14ac:dyDescent="0.25">
      <c r="D16" s="3" t="s">
        <v>32</v>
      </c>
      <c r="E16" s="4" t="s">
        <v>85</v>
      </c>
      <c r="F16" s="3" t="s">
        <v>87</v>
      </c>
      <c r="G16" s="5">
        <v>9700</v>
      </c>
      <c r="H16" s="5">
        <v>4550</v>
      </c>
      <c r="I16" s="3" t="s">
        <v>84</v>
      </c>
      <c r="J16" s="6" t="s">
        <v>0</v>
      </c>
    </row>
    <row r="17" spans="4:10" ht="18.75" x14ac:dyDescent="0.25">
      <c r="D17" s="3" t="s">
        <v>88</v>
      </c>
      <c r="E17" s="4" t="s">
        <v>89</v>
      </c>
      <c r="F17" s="3" t="s">
        <v>90</v>
      </c>
      <c r="G17" s="5">
        <v>5000</v>
      </c>
      <c r="H17" s="5">
        <v>5000</v>
      </c>
      <c r="I17" s="3" t="s">
        <v>91</v>
      </c>
      <c r="J17" s="6" t="s">
        <v>0</v>
      </c>
    </row>
    <row r="18" spans="4:10" ht="18.75" x14ac:dyDescent="0.25">
      <c r="D18" s="3" t="s">
        <v>19</v>
      </c>
      <c r="E18" s="4" t="s">
        <v>92</v>
      </c>
      <c r="F18" s="3" t="s">
        <v>93</v>
      </c>
      <c r="G18" s="5">
        <v>30000</v>
      </c>
      <c r="H18" s="5">
        <v>30000</v>
      </c>
      <c r="I18" s="3" t="s">
        <v>94</v>
      </c>
      <c r="J18" s="6" t="s">
        <v>0</v>
      </c>
    </row>
    <row r="19" spans="4:10" ht="18.75" x14ac:dyDescent="0.25">
      <c r="D19" s="3" t="s">
        <v>19</v>
      </c>
      <c r="E19" s="4" t="s">
        <v>95</v>
      </c>
      <c r="F19" s="3" t="s">
        <v>93</v>
      </c>
      <c r="G19" s="5">
        <v>110000</v>
      </c>
      <c r="H19" s="5">
        <v>110000</v>
      </c>
      <c r="I19" s="3" t="s">
        <v>96</v>
      </c>
      <c r="J19" s="6" t="s">
        <v>0</v>
      </c>
    </row>
    <row r="20" spans="4:10" ht="18.75" x14ac:dyDescent="0.25">
      <c r="D20" s="3" t="s">
        <v>21</v>
      </c>
      <c r="E20" s="4" t="s">
        <v>97</v>
      </c>
      <c r="F20" s="3" t="s">
        <v>98</v>
      </c>
      <c r="G20" s="5">
        <v>25000</v>
      </c>
      <c r="H20" s="5">
        <v>25000</v>
      </c>
      <c r="I20" s="3" t="s">
        <v>96</v>
      </c>
      <c r="J20" s="6" t="s">
        <v>0</v>
      </c>
    </row>
    <row r="21" spans="4:10" ht="18.75" x14ac:dyDescent="0.25">
      <c r="D21" s="3" t="s">
        <v>88</v>
      </c>
      <c r="E21" s="4" t="s">
        <v>99</v>
      </c>
      <c r="F21" s="3" t="s">
        <v>90</v>
      </c>
      <c r="G21" s="5">
        <v>8000</v>
      </c>
      <c r="H21" s="5">
        <v>8000</v>
      </c>
      <c r="I21" s="3" t="s">
        <v>96</v>
      </c>
      <c r="J21" s="6" t="s">
        <v>0</v>
      </c>
    </row>
    <row r="22" spans="4:10" ht="18.75" x14ac:dyDescent="0.25">
      <c r="D22" s="3" t="s">
        <v>88</v>
      </c>
      <c r="E22" s="4" t="s">
        <v>99</v>
      </c>
      <c r="F22" s="3" t="s">
        <v>100</v>
      </c>
      <c r="G22" s="5">
        <v>32800</v>
      </c>
      <c r="H22" s="5">
        <v>32800</v>
      </c>
      <c r="I22" s="3" t="s">
        <v>96</v>
      </c>
      <c r="J22" s="6" t="s">
        <v>0</v>
      </c>
    </row>
    <row r="23" spans="4:10" ht="18.75" x14ac:dyDescent="0.25">
      <c r="D23" s="3" t="s">
        <v>88</v>
      </c>
      <c r="E23" s="4" t="s">
        <v>99</v>
      </c>
      <c r="F23" s="3" t="s">
        <v>101</v>
      </c>
      <c r="G23" s="5">
        <v>16000</v>
      </c>
      <c r="H23" s="5">
        <v>5550</v>
      </c>
      <c r="I23" s="3" t="s">
        <v>96</v>
      </c>
      <c r="J23" s="6" t="s">
        <v>0</v>
      </c>
    </row>
    <row r="24" spans="4:10" ht="18.75" x14ac:dyDescent="0.25">
      <c r="D24" s="3" t="s">
        <v>32</v>
      </c>
      <c r="E24" s="4" t="s">
        <v>102</v>
      </c>
      <c r="F24" s="3" t="s">
        <v>90</v>
      </c>
      <c r="G24" s="5">
        <v>1500</v>
      </c>
      <c r="H24" s="5">
        <v>1500</v>
      </c>
      <c r="I24" s="3" t="s">
        <v>103</v>
      </c>
      <c r="J24" s="6" t="s">
        <v>0</v>
      </c>
    </row>
    <row r="25" spans="4:10" ht="18.75" x14ac:dyDescent="0.25">
      <c r="D25" s="3" t="s">
        <v>32</v>
      </c>
      <c r="E25" s="4" t="s">
        <v>102</v>
      </c>
      <c r="F25" s="3" t="s">
        <v>104</v>
      </c>
      <c r="G25" s="5">
        <v>132500</v>
      </c>
      <c r="H25" s="5">
        <v>67500</v>
      </c>
      <c r="I25" s="3" t="s">
        <v>103</v>
      </c>
      <c r="J25" s="6" t="s">
        <v>0</v>
      </c>
    </row>
    <row r="26" spans="4:10" ht="18.75" x14ac:dyDescent="0.3">
      <c r="D26" s="145" t="s">
        <v>67</v>
      </c>
      <c r="E26" s="146"/>
      <c r="F26" s="147"/>
      <c r="G26" s="7">
        <f>SUM(G8:G25)</f>
        <v>534000</v>
      </c>
      <c r="H26" s="138">
        <f>SUM(H8:H25)</f>
        <v>417796</v>
      </c>
      <c r="I26" s="148" t="s">
        <v>105</v>
      </c>
      <c r="J26" s="149"/>
    </row>
    <row r="27" spans="4:10" ht="18.75" x14ac:dyDescent="0.25">
      <c r="D27" s="3" t="s">
        <v>88</v>
      </c>
      <c r="E27" s="4" t="s">
        <v>99</v>
      </c>
      <c r="F27" s="3" t="s">
        <v>106</v>
      </c>
      <c r="G27" s="5">
        <v>6800</v>
      </c>
      <c r="H27" s="5">
        <v>6800</v>
      </c>
      <c r="I27" s="3" t="s">
        <v>107</v>
      </c>
      <c r="J27" s="6" t="s">
        <v>1</v>
      </c>
    </row>
    <row r="28" spans="4:10" ht="18.75" x14ac:dyDescent="0.25">
      <c r="D28" s="3" t="s">
        <v>21</v>
      </c>
      <c r="E28" s="4" t="s">
        <v>108</v>
      </c>
      <c r="F28" s="3" t="s">
        <v>109</v>
      </c>
      <c r="G28" s="5">
        <v>5000</v>
      </c>
      <c r="H28" s="5">
        <v>5000</v>
      </c>
      <c r="I28" s="3" t="s">
        <v>110</v>
      </c>
      <c r="J28" s="6" t="s">
        <v>1</v>
      </c>
    </row>
    <row r="29" spans="4:10" ht="18.75" x14ac:dyDescent="0.25">
      <c r="D29" s="3" t="s">
        <v>32</v>
      </c>
      <c r="E29" s="4" t="s">
        <v>111</v>
      </c>
      <c r="F29" s="3" t="s">
        <v>112</v>
      </c>
      <c r="G29" s="5">
        <v>8000</v>
      </c>
      <c r="H29" s="5">
        <v>7050</v>
      </c>
      <c r="I29" s="3" t="s">
        <v>110</v>
      </c>
      <c r="J29" s="6" t="s">
        <v>1</v>
      </c>
    </row>
    <row r="30" spans="4:10" ht="18.75" x14ac:dyDescent="0.25">
      <c r="D30" s="3" t="s">
        <v>32</v>
      </c>
      <c r="E30" s="4" t="s">
        <v>111</v>
      </c>
      <c r="F30" s="3" t="s">
        <v>113</v>
      </c>
      <c r="G30" s="5">
        <v>10000</v>
      </c>
      <c r="H30" s="5">
        <v>10000</v>
      </c>
      <c r="I30" s="3" t="s">
        <v>110</v>
      </c>
      <c r="J30" s="6" t="s">
        <v>1</v>
      </c>
    </row>
    <row r="31" spans="4:10" ht="18.75" x14ac:dyDescent="0.25">
      <c r="D31" s="3" t="s">
        <v>21</v>
      </c>
      <c r="E31" s="4" t="s">
        <v>114</v>
      </c>
      <c r="F31" s="3" t="s">
        <v>79</v>
      </c>
      <c r="G31" s="5">
        <v>7000</v>
      </c>
      <c r="H31" s="5">
        <v>7000</v>
      </c>
      <c r="I31" s="3" t="s">
        <v>110</v>
      </c>
      <c r="J31" s="6" t="s">
        <v>1</v>
      </c>
    </row>
    <row r="32" spans="4:10" ht="18.75" x14ac:dyDescent="0.25">
      <c r="D32" s="3" t="s">
        <v>21</v>
      </c>
      <c r="E32" s="4" t="s">
        <v>114</v>
      </c>
      <c r="F32" s="3" t="s">
        <v>90</v>
      </c>
      <c r="G32" s="5">
        <v>3000</v>
      </c>
      <c r="H32" s="5">
        <v>3000</v>
      </c>
      <c r="I32" s="3" t="s">
        <v>110</v>
      </c>
      <c r="J32" s="6" t="s">
        <v>1</v>
      </c>
    </row>
    <row r="33" spans="4:10" ht="18.75" x14ac:dyDescent="0.25">
      <c r="D33" s="3" t="s">
        <v>21</v>
      </c>
      <c r="E33" s="4" t="s">
        <v>114</v>
      </c>
      <c r="F33" s="3" t="s">
        <v>80</v>
      </c>
      <c r="G33" s="5">
        <v>10000</v>
      </c>
      <c r="H33" s="5">
        <v>6598</v>
      </c>
      <c r="I33" s="3" t="s">
        <v>110</v>
      </c>
      <c r="J33" s="6" t="s">
        <v>1</v>
      </c>
    </row>
    <row r="34" spans="4:10" ht="18.75" x14ac:dyDescent="0.25">
      <c r="D34" s="3" t="s">
        <v>32</v>
      </c>
      <c r="E34" s="4" t="s">
        <v>115</v>
      </c>
      <c r="F34" s="3" t="s">
        <v>116</v>
      </c>
      <c r="G34" s="5">
        <v>5000</v>
      </c>
      <c r="H34" s="5">
        <v>5000</v>
      </c>
      <c r="I34" s="3" t="s">
        <v>117</v>
      </c>
      <c r="J34" s="6" t="s">
        <v>1</v>
      </c>
    </row>
    <row r="35" spans="4:10" ht="18.75" x14ac:dyDescent="0.25">
      <c r="D35" s="3" t="s">
        <v>88</v>
      </c>
      <c r="E35" s="4" t="s">
        <v>118</v>
      </c>
      <c r="F35" s="3" t="s">
        <v>119</v>
      </c>
      <c r="G35" s="5">
        <v>16350</v>
      </c>
      <c r="H35" s="5">
        <v>5450</v>
      </c>
      <c r="I35" s="3" t="s">
        <v>120</v>
      </c>
      <c r="J35" s="6" t="s">
        <v>1</v>
      </c>
    </row>
    <row r="36" spans="4:10" ht="18.75" x14ac:dyDescent="0.25">
      <c r="D36" s="3" t="s">
        <v>88</v>
      </c>
      <c r="E36" s="4" t="s">
        <v>99</v>
      </c>
      <c r="F36" s="3" t="s">
        <v>90</v>
      </c>
      <c r="G36" s="5">
        <v>5000</v>
      </c>
      <c r="H36" s="5">
        <v>5000</v>
      </c>
      <c r="I36" s="3" t="s">
        <v>120</v>
      </c>
      <c r="J36" s="6" t="s">
        <v>1</v>
      </c>
    </row>
    <row r="37" spans="4:10" ht="18.75" x14ac:dyDescent="0.25">
      <c r="D37" s="3" t="s">
        <v>88</v>
      </c>
      <c r="E37" s="4" t="s">
        <v>99</v>
      </c>
      <c r="F37" s="3" t="s">
        <v>121</v>
      </c>
      <c r="G37" s="5">
        <v>50000</v>
      </c>
      <c r="H37" s="5">
        <v>31100</v>
      </c>
      <c r="I37" s="3" t="s">
        <v>120</v>
      </c>
      <c r="J37" s="6" t="s">
        <v>1</v>
      </c>
    </row>
    <row r="38" spans="4:10" ht="18.75" x14ac:dyDescent="0.25">
      <c r="D38" s="3" t="s">
        <v>21</v>
      </c>
      <c r="E38" s="4" t="s">
        <v>122</v>
      </c>
      <c r="F38" s="3" t="s">
        <v>123</v>
      </c>
      <c r="G38" s="5">
        <v>25000</v>
      </c>
      <c r="H38" s="5">
        <v>25000</v>
      </c>
      <c r="I38" s="3" t="s">
        <v>124</v>
      </c>
      <c r="J38" s="6" t="s">
        <v>1</v>
      </c>
    </row>
    <row r="39" spans="4:10" ht="18.75" x14ac:dyDescent="0.25">
      <c r="D39" s="3" t="s">
        <v>21</v>
      </c>
      <c r="E39" s="4" t="s">
        <v>125</v>
      </c>
      <c r="F39" s="3" t="s">
        <v>90</v>
      </c>
      <c r="G39" s="5">
        <v>17300</v>
      </c>
      <c r="H39" s="5">
        <v>17300</v>
      </c>
      <c r="I39" s="3" t="s">
        <v>126</v>
      </c>
      <c r="J39" s="6" t="s">
        <v>1</v>
      </c>
    </row>
    <row r="40" spans="4:10" ht="18.75" x14ac:dyDescent="0.25">
      <c r="D40" s="3" t="s">
        <v>32</v>
      </c>
      <c r="E40" s="4" t="s">
        <v>127</v>
      </c>
      <c r="F40" s="3" t="s">
        <v>80</v>
      </c>
      <c r="G40" s="5">
        <v>10000</v>
      </c>
      <c r="H40" s="5">
        <v>10000</v>
      </c>
      <c r="I40" s="3" t="s">
        <v>128</v>
      </c>
      <c r="J40" s="6" t="s">
        <v>1</v>
      </c>
    </row>
    <row r="41" spans="4:10" ht="18.75" x14ac:dyDescent="0.25">
      <c r="D41" s="3" t="s">
        <v>32</v>
      </c>
      <c r="E41" s="4" t="s">
        <v>127</v>
      </c>
      <c r="F41" s="3" t="s">
        <v>129</v>
      </c>
      <c r="G41" s="5">
        <v>10000</v>
      </c>
      <c r="H41" s="5">
        <v>10000</v>
      </c>
      <c r="I41" s="3" t="s">
        <v>128</v>
      </c>
      <c r="J41" s="6" t="s">
        <v>1</v>
      </c>
    </row>
    <row r="42" spans="4:10" ht="18.75" x14ac:dyDescent="0.25">
      <c r="D42" s="3" t="s">
        <v>32</v>
      </c>
      <c r="E42" s="4" t="s">
        <v>127</v>
      </c>
      <c r="F42" s="3" t="s">
        <v>83</v>
      </c>
      <c r="G42" s="5">
        <v>44000</v>
      </c>
      <c r="H42" s="5">
        <v>22400</v>
      </c>
      <c r="I42" s="3" t="s">
        <v>128</v>
      </c>
      <c r="J42" s="6" t="s">
        <v>1</v>
      </c>
    </row>
    <row r="43" spans="4:10" ht="18.75" x14ac:dyDescent="0.25">
      <c r="D43" s="3" t="s">
        <v>32</v>
      </c>
      <c r="E43" s="4" t="s">
        <v>127</v>
      </c>
      <c r="F43" s="3" t="s">
        <v>90</v>
      </c>
      <c r="G43" s="5">
        <v>8000</v>
      </c>
      <c r="H43" s="5">
        <v>8000</v>
      </c>
      <c r="I43" s="3" t="s">
        <v>128</v>
      </c>
      <c r="J43" s="6" t="s">
        <v>1</v>
      </c>
    </row>
    <row r="44" spans="4:10" ht="18.75" x14ac:dyDescent="0.25">
      <c r="D44" s="3" t="s">
        <v>32</v>
      </c>
      <c r="E44" s="4" t="s">
        <v>130</v>
      </c>
      <c r="F44" s="3" t="s">
        <v>90</v>
      </c>
      <c r="G44" s="5">
        <v>7000</v>
      </c>
      <c r="H44" s="5">
        <v>7000</v>
      </c>
      <c r="I44" s="3" t="s">
        <v>128</v>
      </c>
      <c r="J44" s="6" t="s">
        <v>1</v>
      </c>
    </row>
    <row r="45" spans="4:10" ht="18.75" x14ac:dyDescent="0.25">
      <c r="D45" s="3" t="s">
        <v>32</v>
      </c>
      <c r="E45" s="4" t="s">
        <v>130</v>
      </c>
      <c r="F45" s="3" t="s">
        <v>83</v>
      </c>
      <c r="G45" s="5">
        <v>112500</v>
      </c>
      <c r="H45" s="5">
        <v>56180</v>
      </c>
      <c r="I45" s="3" t="s">
        <v>128</v>
      </c>
      <c r="J45" s="6" t="s">
        <v>1</v>
      </c>
    </row>
    <row r="46" spans="4:10" ht="18.75" x14ac:dyDescent="0.25">
      <c r="D46" s="3" t="s">
        <v>88</v>
      </c>
      <c r="E46" s="4" t="s">
        <v>131</v>
      </c>
      <c r="F46" s="3" t="s">
        <v>123</v>
      </c>
      <c r="G46" s="5">
        <v>5000</v>
      </c>
      <c r="H46" s="5">
        <v>5000</v>
      </c>
      <c r="I46" s="3" t="s">
        <v>132</v>
      </c>
      <c r="J46" s="6" t="s">
        <v>1</v>
      </c>
    </row>
    <row r="47" spans="4:10" ht="18.75" x14ac:dyDescent="0.25">
      <c r="D47" s="3" t="s">
        <v>32</v>
      </c>
      <c r="E47" s="4" t="s">
        <v>133</v>
      </c>
      <c r="F47" s="3" t="s">
        <v>80</v>
      </c>
      <c r="G47" s="5">
        <v>15000</v>
      </c>
      <c r="H47" s="5">
        <v>15000</v>
      </c>
      <c r="I47" s="3" t="s">
        <v>132</v>
      </c>
      <c r="J47" s="6" t="s">
        <v>1</v>
      </c>
    </row>
    <row r="48" spans="4:10" ht="18.75" x14ac:dyDescent="0.25">
      <c r="D48" s="3" t="s">
        <v>88</v>
      </c>
      <c r="E48" s="4" t="s">
        <v>99</v>
      </c>
      <c r="F48" s="3" t="s">
        <v>134</v>
      </c>
      <c r="G48" s="5">
        <v>12000</v>
      </c>
      <c r="H48" s="5">
        <v>12000</v>
      </c>
      <c r="I48" s="3" t="s">
        <v>132</v>
      </c>
      <c r="J48" s="6" t="s">
        <v>1</v>
      </c>
    </row>
    <row r="49" spans="4:10" ht="18.75" x14ac:dyDescent="0.25">
      <c r="D49" s="3" t="s">
        <v>32</v>
      </c>
      <c r="E49" s="4" t="s">
        <v>135</v>
      </c>
      <c r="F49" s="3" t="s">
        <v>136</v>
      </c>
      <c r="G49" s="5">
        <v>15000</v>
      </c>
      <c r="H49" s="5">
        <v>15000</v>
      </c>
      <c r="I49" s="3" t="s">
        <v>137</v>
      </c>
      <c r="J49" s="6" t="s">
        <v>1</v>
      </c>
    </row>
    <row r="50" spans="4:10" ht="18.75" x14ac:dyDescent="0.25">
      <c r="D50" s="3" t="s">
        <v>32</v>
      </c>
      <c r="E50" s="4" t="s">
        <v>135</v>
      </c>
      <c r="F50" s="3" t="s">
        <v>90</v>
      </c>
      <c r="G50" s="5">
        <v>3000</v>
      </c>
      <c r="H50" s="5">
        <v>3000</v>
      </c>
      <c r="I50" s="3" t="s">
        <v>137</v>
      </c>
      <c r="J50" s="6" t="s">
        <v>1</v>
      </c>
    </row>
    <row r="51" spans="4:10" ht="18.75" x14ac:dyDescent="0.25">
      <c r="D51" s="3" t="s">
        <v>32</v>
      </c>
      <c r="E51" s="4" t="s">
        <v>138</v>
      </c>
      <c r="F51" s="3" t="s">
        <v>139</v>
      </c>
      <c r="G51" s="5">
        <v>25000</v>
      </c>
      <c r="H51" s="5">
        <v>25000</v>
      </c>
      <c r="I51" s="3" t="s">
        <v>137</v>
      </c>
      <c r="J51" s="6" t="s">
        <v>1</v>
      </c>
    </row>
    <row r="52" spans="4:10" ht="18.75" x14ac:dyDescent="0.25">
      <c r="D52" s="3" t="s">
        <v>88</v>
      </c>
      <c r="E52" s="4" t="s">
        <v>140</v>
      </c>
      <c r="F52" s="3" t="s">
        <v>90</v>
      </c>
      <c r="G52" s="5">
        <v>10000</v>
      </c>
      <c r="H52" s="5">
        <v>10000</v>
      </c>
      <c r="I52" s="3" t="s">
        <v>141</v>
      </c>
      <c r="J52" s="6" t="s">
        <v>1</v>
      </c>
    </row>
    <row r="53" spans="4:10" ht="18.75" x14ac:dyDescent="0.25">
      <c r="D53" s="3" t="s">
        <v>32</v>
      </c>
      <c r="E53" s="4" t="s">
        <v>142</v>
      </c>
      <c r="F53" s="3" t="s">
        <v>90</v>
      </c>
      <c r="G53" s="5">
        <v>10000</v>
      </c>
      <c r="H53" s="5">
        <v>10000</v>
      </c>
      <c r="I53" s="3" t="s">
        <v>141</v>
      </c>
      <c r="J53" s="6" t="s">
        <v>1</v>
      </c>
    </row>
    <row r="54" spans="4:10" ht="18.75" x14ac:dyDescent="0.25">
      <c r="D54" s="3" t="s">
        <v>32</v>
      </c>
      <c r="E54" s="4" t="s">
        <v>142</v>
      </c>
      <c r="F54" s="3" t="s">
        <v>143</v>
      </c>
      <c r="G54" s="5">
        <v>14500</v>
      </c>
      <c r="H54" s="5">
        <v>7510</v>
      </c>
      <c r="I54" s="3" t="s">
        <v>141</v>
      </c>
      <c r="J54" s="6" t="s">
        <v>1</v>
      </c>
    </row>
    <row r="55" spans="4:10" ht="18.75" x14ac:dyDescent="0.25">
      <c r="D55" s="3" t="s">
        <v>32</v>
      </c>
      <c r="E55" s="4" t="s">
        <v>144</v>
      </c>
      <c r="F55" s="3" t="s">
        <v>145</v>
      </c>
      <c r="G55" s="5">
        <v>8700</v>
      </c>
      <c r="H55" s="5">
        <v>4650</v>
      </c>
      <c r="I55" s="3" t="s">
        <v>141</v>
      </c>
      <c r="J55" s="6" t="s">
        <v>1</v>
      </c>
    </row>
    <row r="56" spans="4:10" ht="18.75" x14ac:dyDescent="0.25">
      <c r="D56" s="3" t="s">
        <v>32</v>
      </c>
      <c r="E56" s="4" t="s">
        <v>146</v>
      </c>
      <c r="F56" s="3" t="s">
        <v>147</v>
      </c>
      <c r="G56" s="5">
        <v>5000</v>
      </c>
      <c r="H56" s="5">
        <v>5000</v>
      </c>
      <c r="I56" s="3" t="s">
        <v>148</v>
      </c>
      <c r="J56" s="6" t="s">
        <v>1</v>
      </c>
    </row>
    <row r="57" spans="4:10" ht="18.75" x14ac:dyDescent="0.25">
      <c r="D57" s="3" t="s">
        <v>32</v>
      </c>
      <c r="E57" s="4" t="s">
        <v>149</v>
      </c>
      <c r="F57" s="3" t="s">
        <v>79</v>
      </c>
      <c r="G57" s="5">
        <v>15000</v>
      </c>
      <c r="H57" s="5">
        <v>15000</v>
      </c>
      <c r="I57" s="3" t="s">
        <v>150</v>
      </c>
      <c r="J57" s="6" t="s">
        <v>1</v>
      </c>
    </row>
    <row r="58" spans="4:10" ht="18.75" x14ac:dyDescent="0.25">
      <c r="D58" s="3" t="s">
        <v>32</v>
      </c>
      <c r="E58" s="4" t="s">
        <v>149</v>
      </c>
      <c r="F58" s="3" t="s">
        <v>80</v>
      </c>
      <c r="G58" s="5">
        <v>4900</v>
      </c>
      <c r="H58" s="5">
        <v>3130</v>
      </c>
      <c r="I58" s="3" t="s">
        <v>150</v>
      </c>
      <c r="J58" s="6" t="s">
        <v>1</v>
      </c>
    </row>
    <row r="59" spans="4:10" ht="18.75" x14ac:dyDescent="0.25">
      <c r="D59" s="3" t="s">
        <v>5</v>
      </c>
      <c r="E59" s="4" t="s">
        <v>154</v>
      </c>
      <c r="F59" s="3" t="s">
        <v>155</v>
      </c>
      <c r="G59" s="5">
        <v>5000</v>
      </c>
      <c r="H59" s="5">
        <v>5000</v>
      </c>
      <c r="I59" s="3" t="s">
        <v>156</v>
      </c>
      <c r="J59" s="6" t="s">
        <v>1</v>
      </c>
    </row>
    <row r="60" spans="4:10" ht="18.75" x14ac:dyDescent="0.25">
      <c r="D60" s="3" t="s">
        <v>21</v>
      </c>
      <c r="E60" s="4" t="s">
        <v>157</v>
      </c>
      <c r="F60" s="3" t="s">
        <v>158</v>
      </c>
      <c r="G60" s="5">
        <v>16250</v>
      </c>
      <c r="H60" s="5">
        <v>16250</v>
      </c>
      <c r="I60" s="3" t="s">
        <v>117</v>
      </c>
      <c r="J60" s="6" t="s">
        <v>1</v>
      </c>
    </row>
    <row r="61" spans="4:10" ht="18.75" x14ac:dyDescent="0.25">
      <c r="D61" s="3" t="s">
        <v>21</v>
      </c>
      <c r="E61" s="4" t="s">
        <v>159</v>
      </c>
      <c r="F61" s="3" t="s">
        <v>160</v>
      </c>
      <c r="G61" s="5">
        <v>5000</v>
      </c>
      <c r="H61" s="5">
        <v>5000</v>
      </c>
      <c r="I61" s="3" t="s">
        <v>161</v>
      </c>
      <c r="J61" s="6" t="s">
        <v>1</v>
      </c>
    </row>
    <row r="62" spans="4:10" ht="18.75" x14ac:dyDescent="0.25">
      <c r="D62" s="3" t="s">
        <v>21</v>
      </c>
      <c r="E62" s="4" t="s">
        <v>125</v>
      </c>
      <c r="F62" s="3" t="s">
        <v>90</v>
      </c>
      <c r="G62" s="5">
        <v>17300</v>
      </c>
      <c r="H62" s="5">
        <v>17300</v>
      </c>
      <c r="I62" s="3" t="s">
        <v>126</v>
      </c>
      <c r="J62" s="6" t="s">
        <v>1</v>
      </c>
    </row>
    <row r="63" spans="4:10" ht="18.75" x14ac:dyDescent="0.25">
      <c r="D63" s="3" t="s">
        <v>19</v>
      </c>
      <c r="E63" s="4" t="s">
        <v>92</v>
      </c>
      <c r="F63" s="3" t="s">
        <v>162</v>
      </c>
      <c r="G63" s="5">
        <v>30000</v>
      </c>
      <c r="H63" s="5">
        <v>30000</v>
      </c>
      <c r="I63" s="3" t="s">
        <v>163</v>
      </c>
      <c r="J63" s="6" t="s">
        <v>1</v>
      </c>
    </row>
    <row r="64" spans="4:10" ht="18.75" x14ac:dyDescent="0.25">
      <c r="D64" s="3" t="s">
        <v>32</v>
      </c>
      <c r="E64" s="4" t="s">
        <v>164</v>
      </c>
      <c r="F64" s="3" t="s">
        <v>165</v>
      </c>
      <c r="G64" s="5">
        <v>9000</v>
      </c>
      <c r="H64" s="5">
        <v>9000</v>
      </c>
      <c r="I64" s="3" t="s">
        <v>163</v>
      </c>
      <c r="J64" s="6" t="s">
        <v>1</v>
      </c>
    </row>
    <row r="65" spans="4:10" ht="18.75" x14ac:dyDescent="0.25">
      <c r="D65" s="3" t="s">
        <v>32</v>
      </c>
      <c r="E65" s="4" t="s">
        <v>72</v>
      </c>
      <c r="F65" s="3" t="s">
        <v>166</v>
      </c>
      <c r="G65" s="5">
        <v>9000</v>
      </c>
      <c r="H65" s="5">
        <v>9000</v>
      </c>
      <c r="I65" s="3" t="s">
        <v>163</v>
      </c>
      <c r="J65" s="6" t="s">
        <v>1</v>
      </c>
    </row>
    <row r="66" spans="4:10" ht="18.75" x14ac:dyDescent="0.25">
      <c r="D66" s="3" t="s">
        <v>32</v>
      </c>
      <c r="E66" s="4" t="s">
        <v>72</v>
      </c>
      <c r="F66" s="3" t="s">
        <v>167</v>
      </c>
      <c r="G66" s="5">
        <v>9000</v>
      </c>
      <c r="H66" s="5">
        <v>9000</v>
      </c>
      <c r="I66" s="3" t="s">
        <v>163</v>
      </c>
      <c r="J66" s="6" t="s">
        <v>1</v>
      </c>
    </row>
    <row r="67" spans="4:10" ht="18.75" x14ac:dyDescent="0.25">
      <c r="D67" s="3" t="s">
        <v>21</v>
      </c>
      <c r="E67" s="4" t="s">
        <v>168</v>
      </c>
      <c r="F67" s="3" t="s">
        <v>90</v>
      </c>
      <c r="G67" s="5">
        <v>4000</v>
      </c>
      <c r="H67" s="5">
        <v>4000</v>
      </c>
      <c r="I67" s="3" t="s">
        <v>163</v>
      </c>
      <c r="J67" s="6" t="s">
        <v>1</v>
      </c>
    </row>
    <row r="68" spans="4:10" ht="16.5" customHeight="1" x14ac:dyDescent="0.25">
      <c r="D68" s="3" t="s">
        <v>21</v>
      </c>
      <c r="E68" s="4" t="s">
        <v>170</v>
      </c>
      <c r="F68" s="3" t="s">
        <v>172</v>
      </c>
      <c r="G68" s="5">
        <v>25000</v>
      </c>
      <c r="H68" s="5">
        <v>25000</v>
      </c>
      <c r="I68" s="3" t="s">
        <v>171</v>
      </c>
      <c r="J68" s="6" t="s">
        <v>1</v>
      </c>
    </row>
    <row r="69" spans="4:10" ht="18.75" x14ac:dyDescent="0.25">
      <c r="D69" s="3" t="s">
        <v>21</v>
      </c>
      <c r="E69" s="4" t="s">
        <v>173</v>
      </c>
      <c r="F69" s="3" t="s">
        <v>174</v>
      </c>
      <c r="G69" s="5">
        <v>120000</v>
      </c>
      <c r="H69" s="5">
        <v>73942.5</v>
      </c>
      <c r="I69" s="3" t="s">
        <v>171</v>
      </c>
      <c r="J69" s="6" t="s">
        <v>1</v>
      </c>
    </row>
    <row r="70" spans="4:10" ht="18.75" x14ac:dyDescent="0.25">
      <c r="D70" s="3" t="s">
        <v>21</v>
      </c>
      <c r="E70" s="4" t="s">
        <v>175</v>
      </c>
      <c r="F70" s="3" t="s">
        <v>176</v>
      </c>
      <c r="G70" s="5">
        <v>130000</v>
      </c>
      <c r="H70" s="5">
        <v>83942.5</v>
      </c>
      <c r="I70" s="3" t="s">
        <v>163</v>
      </c>
      <c r="J70" s="6" t="s">
        <v>1</v>
      </c>
    </row>
    <row r="71" spans="4:10" ht="18.75" x14ac:dyDescent="0.3">
      <c r="D71" s="143" t="s">
        <v>67</v>
      </c>
      <c r="E71" s="143"/>
      <c r="F71" s="143"/>
      <c r="G71" s="7">
        <f>SUM(G27:G70)</f>
        <v>882600</v>
      </c>
      <c r="H71" s="138">
        <f>SUM(H27:H70)</f>
        <v>665603</v>
      </c>
      <c r="I71" s="148" t="s">
        <v>169</v>
      </c>
      <c r="J71" s="150"/>
    </row>
    <row r="72" spans="4:10" ht="18.75" x14ac:dyDescent="0.25">
      <c r="D72" s="3" t="s">
        <v>21</v>
      </c>
      <c r="E72" s="4" t="s">
        <v>173</v>
      </c>
      <c r="F72" s="3" t="s">
        <v>162</v>
      </c>
      <c r="G72" s="5">
        <v>30000</v>
      </c>
      <c r="H72" s="5">
        <v>30000</v>
      </c>
      <c r="I72" s="3" t="s">
        <v>177</v>
      </c>
      <c r="J72" s="23" t="s">
        <v>2</v>
      </c>
    </row>
    <row r="73" spans="4:10" ht="18.75" x14ac:dyDescent="0.25">
      <c r="D73" s="3" t="s">
        <v>21</v>
      </c>
      <c r="E73" s="4" t="s">
        <v>240</v>
      </c>
      <c r="F73" s="3" t="s">
        <v>178</v>
      </c>
      <c r="G73" s="5">
        <v>20000</v>
      </c>
      <c r="H73" s="5">
        <v>10310</v>
      </c>
      <c r="I73" s="3" t="s">
        <v>179</v>
      </c>
      <c r="J73" s="23" t="s">
        <v>2</v>
      </c>
    </row>
    <row r="74" spans="4:10" ht="18.75" x14ac:dyDescent="0.25">
      <c r="D74" s="3" t="s">
        <v>21</v>
      </c>
      <c r="E74" s="4" t="s">
        <v>180</v>
      </c>
      <c r="F74" s="3" t="s">
        <v>172</v>
      </c>
      <c r="G74" s="5">
        <v>15000</v>
      </c>
      <c r="H74" s="5">
        <v>15000</v>
      </c>
      <c r="I74" s="3" t="s">
        <v>179</v>
      </c>
      <c r="J74" s="23" t="s">
        <v>2</v>
      </c>
    </row>
    <row r="75" spans="4:10" ht="18.75" x14ac:dyDescent="0.25">
      <c r="D75" s="3" t="s">
        <v>21</v>
      </c>
      <c r="E75" s="4" t="s">
        <v>225</v>
      </c>
      <c r="F75" s="3" t="s">
        <v>172</v>
      </c>
      <c r="G75" s="5">
        <v>10000</v>
      </c>
      <c r="H75" s="5">
        <v>10000</v>
      </c>
      <c r="I75" s="3" t="s">
        <v>179</v>
      </c>
      <c r="J75" s="23" t="s">
        <v>2</v>
      </c>
    </row>
    <row r="76" spans="4:10" ht="18.75" x14ac:dyDescent="0.25">
      <c r="D76" s="3" t="s">
        <v>21</v>
      </c>
      <c r="E76" s="4" t="s">
        <v>225</v>
      </c>
      <c r="F76" s="3" t="s">
        <v>178</v>
      </c>
      <c r="G76" s="5">
        <v>30000</v>
      </c>
      <c r="H76" s="5">
        <v>23196</v>
      </c>
      <c r="I76" s="3" t="s">
        <v>179</v>
      </c>
      <c r="J76" s="23" t="s">
        <v>2</v>
      </c>
    </row>
    <row r="77" spans="4:10" ht="18.75" x14ac:dyDescent="0.25">
      <c r="D77" s="3" t="s">
        <v>21</v>
      </c>
      <c r="E77" s="4" t="s">
        <v>226</v>
      </c>
      <c r="F77" s="3" t="s">
        <v>83</v>
      </c>
      <c r="G77" s="5">
        <v>145000</v>
      </c>
      <c r="H77" s="5">
        <v>71300</v>
      </c>
      <c r="I77" s="3" t="s">
        <v>179</v>
      </c>
      <c r="J77" s="23" t="s">
        <v>2</v>
      </c>
    </row>
    <row r="78" spans="4:10" ht="18.75" x14ac:dyDescent="0.25">
      <c r="D78" s="3" t="s">
        <v>19</v>
      </c>
      <c r="E78" s="4" t="s">
        <v>227</v>
      </c>
      <c r="F78" s="3" t="s">
        <v>172</v>
      </c>
      <c r="G78" s="5">
        <v>28000</v>
      </c>
      <c r="H78" s="5">
        <v>28000</v>
      </c>
      <c r="I78" s="3" t="s">
        <v>179</v>
      </c>
      <c r="J78" s="23" t="s">
        <v>2</v>
      </c>
    </row>
    <row r="79" spans="4:10" ht="18.75" x14ac:dyDescent="0.25">
      <c r="D79" s="3" t="s">
        <v>21</v>
      </c>
      <c r="E79" s="1" t="s">
        <v>168</v>
      </c>
      <c r="F79" s="3" t="s">
        <v>83</v>
      </c>
      <c r="G79" s="5">
        <v>91000</v>
      </c>
      <c r="H79" s="5">
        <v>49840</v>
      </c>
      <c r="I79" s="3" t="s">
        <v>228</v>
      </c>
      <c r="J79" s="23" t="s">
        <v>2</v>
      </c>
    </row>
    <row r="80" spans="4:10" ht="18.75" x14ac:dyDescent="0.25">
      <c r="D80" s="3" t="s">
        <v>21</v>
      </c>
      <c r="E80" s="4" t="s">
        <v>229</v>
      </c>
      <c r="F80" s="3" t="s">
        <v>90</v>
      </c>
      <c r="G80" s="5">
        <v>5000</v>
      </c>
      <c r="H80" s="5">
        <v>5000</v>
      </c>
      <c r="I80" s="3" t="s">
        <v>228</v>
      </c>
      <c r="J80" s="23" t="s">
        <v>2</v>
      </c>
    </row>
    <row r="81" spans="4:10" ht="18.75" x14ac:dyDescent="0.25">
      <c r="D81" s="3" t="s">
        <v>88</v>
      </c>
      <c r="E81" s="4" t="s">
        <v>230</v>
      </c>
      <c r="F81" s="3" t="s">
        <v>231</v>
      </c>
      <c r="G81" s="5">
        <v>24500</v>
      </c>
      <c r="H81" s="5">
        <v>15260</v>
      </c>
      <c r="I81" s="3" t="s">
        <v>228</v>
      </c>
      <c r="J81" s="24" t="s">
        <v>2</v>
      </c>
    </row>
    <row r="82" spans="4:10" ht="18.75" x14ac:dyDescent="0.25">
      <c r="D82" s="3" t="s">
        <v>21</v>
      </c>
      <c r="E82" s="4" t="s">
        <v>233</v>
      </c>
      <c r="F82" s="3" t="s">
        <v>234</v>
      </c>
      <c r="G82" s="5">
        <v>9000</v>
      </c>
      <c r="H82" s="5">
        <v>7020</v>
      </c>
      <c r="I82" s="3" t="s">
        <v>232</v>
      </c>
      <c r="J82" s="24" t="s">
        <v>2</v>
      </c>
    </row>
    <row r="83" spans="4:10" ht="18.75" x14ac:dyDescent="0.25">
      <c r="D83" s="3" t="s">
        <v>32</v>
      </c>
      <c r="E83" s="4" t="s">
        <v>235</v>
      </c>
      <c r="F83" s="3" t="s">
        <v>80</v>
      </c>
      <c r="G83" s="5">
        <v>3200</v>
      </c>
      <c r="H83" s="5">
        <v>2850</v>
      </c>
      <c r="I83" s="3" t="s">
        <v>232</v>
      </c>
      <c r="J83" s="24" t="s">
        <v>2</v>
      </c>
    </row>
    <row r="84" spans="4:10" ht="18.75" x14ac:dyDescent="0.25">
      <c r="D84" s="3" t="s">
        <v>32</v>
      </c>
      <c r="E84" s="4" t="s">
        <v>235</v>
      </c>
      <c r="F84" s="3" t="s">
        <v>90</v>
      </c>
      <c r="G84" s="5">
        <v>5000</v>
      </c>
      <c r="H84" s="5">
        <v>5000</v>
      </c>
      <c r="I84" s="3" t="s">
        <v>232</v>
      </c>
      <c r="J84" s="24" t="s">
        <v>2</v>
      </c>
    </row>
    <row r="85" spans="4:10" ht="18.75" x14ac:dyDescent="0.25">
      <c r="D85" s="3" t="s">
        <v>88</v>
      </c>
      <c r="E85" s="4" t="s">
        <v>99</v>
      </c>
      <c r="F85" s="3" t="s">
        <v>236</v>
      </c>
      <c r="G85" s="5">
        <v>12000</v>
      </c>
      <c r="H85" s="5">
        <v>12000</v>
      </c>
      <c r="I85" s="3" t="s">
        <v>238</v>
      </c>
      <c r="J85" s="25" t="s">
        <v>2</v>
      </c>
    </row>
    <row r="86" spans="4:10" ht="18.75" x14ac:dyDescent="0.25">
      <c r="D86" s="3" t="s">
        <v>88</v>
      </c>
      <c r="E86" s="4" t="s">
        <v>99</v>
      </c>
      <c r="F86" s="3" t="s">
        <v>237</v>
      </c>
      <c r="G86" s="5">
        <v>22000</v>
      </c>
      <c r="H86" s="5">
        <v>22000</v>
      </c>
      <c r="I86" s="3" t="s">
        <v>238</v>
      </c>
      <c r="J86" s="25" t="s">
        <v>2</v>
      </c>
    </row>
    <row r="87" spans="4:10" ht="18.75" x14ac:dyDescent="0.25">
      <c r="D87" s="3" t="s">
        <v>21</v>
      </c>
      <c r="E87" s="4" t="s">
        <v>239</v>
      </c>
      <c r="F87" s="3" t="s">
        <v>83</v>
      </c>
      <c r="G87" s="5">
        <v>61000</v>
      </c>
      <c r="H87" s="5">
        <v>28600</v>
      </c>
      <c r="I87" s="3" t="s">
        <v>238</v>
      </c>
      <c r="J87" s="25" t="s">
        <v>2</v>
      </c>
    </row>
    <row r="88" spans="4:10" ht="18.75" x14ac:dyDescent="0.25">
      <c r="D88" s="3" t="s">
        <v>21</v>
      </c>
      <c r="E88" s="4" t="s">
        <v>239</v>
      </c>
      <c r="F88" s="3" t="s">
        <v>90</v>
      </c>
      <c r="G88" s="5">
        <v>10000</v>
      </c>
      <c r="H88" s="5">
        <v>10000</v>
      </c>
      <c r="I88" s="3" t="s">
        <v>238</v>
      </c>
      <c r="J88" s="25" t="s">
        <v>2</v>
      </c>
    </row>
    <row r="89" spans="4:10" ht="18.75" x14ac:dyDescent="0.25">
      <c r="D89" s="3" t="s">
        <v>21</v>
      </c>
      <c r="E89" s="27" t="s">
        <v>157</v>
      </c>
      <c r="F89" s="3" t="s">
        <v>241</v>
      </c>
      <c r="G89" s="5">
        <v>10000</v>
      </c>
      <c r="H89" s="5">
        <v>10000</v>
      </c>
      <c r="I89" s="3" t="s">
        <v>242</v>
      </c>
      <c r="J89" s="25" t="s">
        <v>2</v>
      </c>
    </row>
    <row r="90" spans="4:10" ht="18.75" x14ac:dyDescent="0.25">
      <c r="D90" s="3" t="s">
        <v>21</v>
      </c>
      <c r="E90" s="27" t="s">
        <v>243</v>
      </c>
      <c r="F90" s="3" t="s">
        <v>244</v>
      </c>
      <c r="G90" s="5">
        <v>25000</v>
      </c>
      <c r="H90" s="5">
        <v>25000</v>
      </c>
      <c r="I90" s="3" t="s">
        <v>245</v>
      </c>
      <c r="J90" s="25" t="s">
        <v>2</v>
      </c>
    </row>
    <row r="91" spans="4:10" ht="18.75" x14ac:dyDescent="0.25">
      <c r="D91" s="3" t="s">
        <v>21</v>
      </c>
      <c r="E91" s="4" t="s">
        <v>246</v>
      </c>
      <c r="F91" s="3" t="s">
        <v>247</v>
      </c>
      <c r="G91" s="5">
        <v>20000</v>
      </c>
      <c r="H91" s="5">
        <v>20000</v>
      </c>
      <c r="I91" s="3" t="s">
        <v>248</v>
      </c>
      <c r="J91" s="26" t="s">
        <v>2</v>
      </c>
    </row>
    <row r="92" spans="4:10" ht="18.75" x14ac:dyDescent="0.25">
      <c r="D92" s="3" t="s">
        <v>32</v>
      </c>
      <c r="E92" s="4" t="s">
        <v>249</v>
      </c>
      <c r="F92" s="3" t="s">
        <v>83</v>
      </c>
      <c r="G92" s="5">
        <v>238000</v>
      </c>
      <c r="H92" s="5">
        <v>58000</v>
      </c>
      <c r="I92" s="3" t="s">
        <v>248</v>
      </c>
      <c r="J92" s="26" t="s">
        <v>2</v>
      </c>
    </row>
    <row r="93" spans="4:10" ht="18.75" x14ac:dyDescent="0.25">
      <c r="D93" s="3" t="s">
        <v>32</v>
      </c>
      <c r="E93" s="4" t="s">
        <v>249</v>
      </c>
      <c r="F93" s="3" t="s">
        <v>250</v>
      </c>
      <c r="G93" s="5">
        <v>14000</v>
      </c>
      <c r="H93" s="5">
        <v>14000</v>
      </c>
      <c r="I93" s="3" t="s">
        <v>248</v>
      </c>
      <c r="J93" s="26" t="s">
        <v>2</v>
      </c>
    </row>
    <row r="94" spans="4:10" ht="18.75" x14ac:dyDescent="0.25">
      <c r="D94" s="3" t="s">
        <v>19</v>
      </c>
      <c r="E94" s="4" t="s">
        <v>133</v>
      </c>
      <c r="F94" s="3" t="s">
        <v>251</v>
      </c>
      <c r="G94" s="5">
        <v>15000</v>
      </c>
      <c r="H94" s="5">
        <v>15000</v>
      </c>
      <c r="I94" s="3" t="s">
        <v>248</v>
      </c>
      <c r="J94" s="28" t="s">
        <v>2</v>
      </c>
    </row>
    <row r="95" spans="4:10" ht="18.75" x14ac:dyDescent="0.25">
      <c r="D95" s="3" t="s">
        <v>21</v>
      </c>
      <c r="E95" s="4" t="s">
        <v>114</v>
      </c>
      <c r="F95" s="3" t="s">
        <v>252</v>
      </c>
      <c r="G95" s="5">
        <v>7000</v>
      </c>
      <c r="H95" s="5">
        <v>7000</v>
      </c>
      <c r="I95" s="3" t="s">
        <v>253</v>
      </c>
      <c r="J95" s="28" t="s">
        <v>2</v>
      </c>
    </row>
    <row r="96" spans="4:10" ht="18.75" x14ac:dyDescent="0.25">
      <c r="D96" s="3" t="s">
        <v>32</v>
      </c>
      <c r="E96" s="4" t="s">
        <v>254</v>
      </c>
      <c r="F96" s="3" t="s">
        <v>255</v>
      </c>
      <c r="G96" s="5">
        <v>44000</v>
      </c>
      <c r="H96" s="5">
        <v>22400</v>
      </c>
      <c r="I96" s="3" t="s">
        <v>253</v>
      </c>
      <c r="J96" s="28" t="s">
        <v>2</v>
      </c>
    </row>
    <row r="97" spans="4:10" ht="18.75" x14ac:dyDescent="0.25">
      <c r="D97" s="3" t="s">
        <v>32</v>
      </c>
      <c r="E97" s="4" t="s">
        <v>254</v>
      </c>
      <c r="F97" s="3" t="s">
        <v>256</v>
      </c>
      <c r="G97" s="5">
        <v>42000</v>
      </c>
      <c r="H97" s="5">
        <v>21000</v>
      </c>
      <c r="I97" s="3" t="s">
        <v>253</v>
      </c>
      <c r="J97" s="28" t="s">
        <v>2</v>
      </c>
    </row>
    <row r="98" spans="4:10" ht="18.75" x14ac:dyDescent="0.25">
      <c r="D98" s="3" t="s">
        <v>21</v>
      </c>
      <c r="E98" s="4" t="s">
        <v>246</v>
      </c>
      <c r="F98" s="3" t="s">
        <v>247</v>
      </c>
      <c r="G98" s="5">
        <v>25000</v>
      </c>
      <c r="H98" s="5">
        <v>25000</v>
      </c>
      <c r="I98" s="3" t="s">
        <v>257</v>
      </c>
      <c r="J98" s="29" t="s">
        <v>2</v>
      </c>
    </row>
    <row r="99" spans="4:10" ht="18.75" x14ac:dyDescent="0.25">
      <c r="D99" s="3" t="s">
        <v>32</v>
      </c>
      <c r="E99" s="4" t="s">
        <v>85</v>
      </c>
      <c r="F99" s="3" t="s">
        <v>247</v>
      </c>
      <c r="G99" s="5">
        <v>7000</v>
      </c>
      <c r="H99" s="5">
        <v>7000</v>
      </c>
      <c r="I99" s="3" t="s">
        <v>258</v>
      </c>
      <c r="J99" s="30" t="s">
        <v>2</v>
      </c>
    </row>
    <row r="100" spans="4:10" ht="18.75" x14ac:dyDescent="0.25">
      <c r="D100" s="3" t="s">
        <v>88</v>
      </c>
      <c r="E100" s="4" t="s">
        <v>259</v>
      </c>
      <c r="F100" s="3" t="s">
        <v>90</v>
      </c>
      <c r="G100" s="5">
        <v>3000</v>
      </c>
      <c r="H100" s="5">
        <v>3000</v>
      </c>
      <c r="I100" s="3" t="s">
        <v>257</v>
      </c>
      <c r="J100" s="31" t="s">
        <v>2</v>
      </c>
    </row>
    <row r="101" spans="4:10" ht="18.75" x14ac:dyDescent="0.25">
      <c r="D101" s="3" t="s">
        <v>21</v>
      </c>
      <c r="E101" s="4" t="s">
        <v>260</v>
      </c>
      <c r="F101" s="3" t="s">
        <v>83</v>
      </c>
      <c r="G101" s="5">
        <v>60000</v>
      </c>
      <c r="H101" s="5">
        <v>27600</v>
      </c>
      <c r="I101" s="3" t="s">
        <v>261</v>
      </c>
      <c r="J101" s="32" t="s">
        <v>2</v>
      </c>
    </row>
    <row r="102" spans="4:10" ht="18.75" x14ac:dyDescent="0.25">
      <c r="D102" s="3" t="s">
        <v>32</v>
      </c>
      <c r="E102" s="4" t="s">
        <v>262</v>
      </c>
      <c r="F102" s="3" t="s">
        <v>263</v>
      </c>
      <c r="G102" s="5">
        <v>25000</v>
      </c>
      <c r="H102" s="5">
        <v>25000</v>
      </c>
      <c r="I102" s="3" t="s">
        <v>261</v>
      </c>
      <c r="J102" s="32" t="s">
        <v>2</v>
      </c>
    </row>
    <row r="103" spans="4:10" ht="18.75" x14ac:dyDescent="0.25">
      <c r="D103" s="3" t="s">
        <v>88</v>
      </c>
      <c r="E103" s="4" t="s">
        <v>264</v>
      </c>
      <c r="F103" s="3" t="s">
        <v>247</v>
      </c>
      <c r="G103" s="5">
        <v>3500</v>
      </c>
      <c r="H103" s="5">
        <v>3500</v>
      </c>
      <c r="I103" s="3" t="s">
        <v>261</v>
      </c>
      <c r="J103" s="33" t="s">
        <v>2</v>
      </c>
    </row>
    <row r="104" spans="4:10" ht="18.75" x14ac:dyDescent="0.25">
      <c r="D104" s="3" t="s">
        <v>88</v>
      </c>
      <c r="E104" s="4" t="s">
        <v>265</v>
      </c>
      <c r="F104" s="3" t="s">
        <v>90</v>
      </c>
      <c r="G104" s="5">
        <v>5000</v>
      </c>
      <c r="H104" s="5">
        <v>5000</v>
      </c>
      <c r="I104" s="3" t="s">
        <v>266</v>
      </c>
      <c r="J104" s="34" t="s">
        <v>2</v>
      </c>
    </row>
    <row r="105" spans="4:10" ht="18.75" x14ac:dyDescent="0.25">
      <c r="D105" s="3" t="s">
        <v>88</v>
      </c>
      <c r="E105" s="4" t="s">
        <v>265</v>
      </c>
      <c r="F105" s="3" t="s">
        <v>267</v>
      </c>
      <c r="G105" s="5">
        <v>11250</v>
      </c>
      <c r="H105" s="5">
        <v>5626</v>
      </c>
      <c r="I105" s="3" t="s">
        <v>266</v>
      </c>
      <c r="J105" s="34" t="s">
        <v>2</v>
      </c>
    </row>
    <row r="106" spans="4:10" ht="18.75" x14ac:dyDescent="0.25">
      <c r="D106" s="3" t="s">
        <v>32</v>
      </c>
      <c r="E106" s="4" t="s">
        <v>72</v>
      </c>
      <c r="F106" s="3" t="s">
        <v>268</v>
      </c>
      <c r="G106" s="5">
        <v>9000</v>
      </c>
      <c r="H106" s="5">
        <v>9000</v>
      </c>
      <c r="I106" s="3" t="s">
        <v>266</v>
      </c>
      <c r="J106" s="35" t="s">
        <v>2</v>
      </c>
    </row>
    <row r="107" spans="4:10" ht="18.75" x14ac:dyDescent="0.25">
      <c r="D107" s="3" t="s">
        <v>32</v>
      </c>
      <c r="E107" s="4" t="s">
        <v>72</v>
      </c>
      <c r="F107" s="3" t="s">
        <v>269</v>
      </c>
      <c r="G107" s="5">
        <v>9000</v>
      </c>
      <c r="H107" s="5">
        <v>9000</v>
      </c>
      <c r="I107" s="3" t="s">
        <v>266</v>
      </c>
      <c r="J107" s="35" t="s">
        <v>2</v>
      </c>
    </row>
    <row r="108" spans="4:10" ht="18.75" x14ac:dyDescent="0.25">
      <c r="D108" s="3" t="s">
        <v>32</v>
      </c>
      <c r="E108" s="4" t="s">
        <v>72</v>
      </c>
      <c r="F108" s="3" t="s">
        <v>270</v>
      </c>
      <c r="G108" s="5">
        <v>9000</v>
      </c>
      <c r="H108" s="5">
        <v>9000</v>
      </c>
      <c r="I108" s="3" t="s">
        <v>266</v>
      </c>
      <c r="J108" s="35" t="s">
        <v>2</v>
      </c>
    </row>
    <row r="109" spans="4:10" ht="18.75" x14ac:dyDescent="0.25">
      <c r="D109" s="3" t="s">
        <v>88</v>
      </c>
      <c r="E109" s="4" t="s">
        <v>271</v>
      </c>
      <c r="F109" s="3" t="s">
        <v>272</v>
      </c>
      <c r="G109" s="5">
        <v>5000</v>
      </c>
      <c r="H109" s="5">
        <v>5000</v>
      </c>
      <c r="I109" s="3" t="s">
        <v>266</v>
      </c>
      <c r="J109" s="36" t="s">
        <v>2</v>
      </c>
    </row>
    <row r="110" spans="4:10" ht="18.75" x14ac:dyDescent="0.25">
      <c r="D110" s="3" t="s">
        <v>21</v>
      </c>
      <c r="E110" s="27" t="s">
        <v>758</v>
      </c>
      <c r="F110" s="3" t="s">
        <v>273</v>
      </c>
      <c r="G110" s="5">
        <v>80000</v>
      </c>
      <c r="H110" s="5">
        <v>37400</v>
      </c>
      <c r="I110" s="3" t="s">
        <v>266</v>
      </c>
      <c r="J110" s="36" t="s">
        <v>2</v>
      </c>
    </row>
    <row r="111" spans="4:10" ht="18.75" x14ac:dyDescent="0.25">
      <c r="D111" s="3" t="s">
        <v>21</v>
      </c>
      <c r="E111" s="27" t="s">
        <v>274</v>
      </c>
      <c r="F111" s="3" t="s">
        <v>247</v>
      </c>
      <c r="G111" s="5">
        <v>10000</v>
      </c>
      <c r="H111" s="5">
        <v>10000</v>
      </c>
      <c r="I111" s="3" t="s">
        <v>275</v>
      </c>
      <c r="J111" s="37" t="s">
        <v>2</v>
      </c>
    </row>
    <row r="112" spans="4:10" ht="18.75" x14ac:dyDescent="0.25">
      <c r="D112" s="3" t="s">
        <v>88</v>
      </c>
      <c r="E112" s="27" t="s">
        <v>276</v>
      </c>
      <c r="F112" s="3" t="s">
        <v>277</v>
      </c>
      <c r="G112" s="5">
        <v>30000</v>
      </c>
      <c r="H112" s="5">
        <v>19794</v>
      </c>
      <c r="I112" s="3" t="s">
        <v>278</v>
      </c>
      <c r="J112" s="38" t="s">
        <v>2</v>
      </c>
    </row>
    <row r="113" spans="4:10" ht="18.75" x14ac:dyDescent="0.25">
      <c r="D113" s="3" t="s">
        <v>21</v>
      </c>
      <c r="E113" s="27" t="s">
        <v>279</v>
      </c>
      <c r="F113" s="3" t="s">
        <v>83</v>
      </c>
      <c r="G113" s="5">
        <v>160000</v>
      </c>
      <c r="H113" s="5">
        <v>49000</v>
      </c>
      <c r="I113" s="3" t="s">
        <v>278</v>
      </c>
      <c r="J113" s="39" t="s">
        <v>2</v>
      </c>
    </row>
    <row r="114" spans="4:10" ht="18.75" x14ac:dyDescent="0.25">
      <c r="D114" s="3" t="s">
        <v>21</v>
      </c>
      <c r="E114" s="27" t="s">
        <v>233</v>
      </c>
      <c r="F114" s="3" t="s">
        <v>280</v>
      </c>
      <c r="G114" s="5">
        <v>35000</v>
      </c>
      <c r="H114" s="5">
        <v>35000</v>
      </c>
      <c r="I114" s="3" t="s">
        <v>278</v>
      </c>
      <c r="J114" s="40" t="s">
        <v>2</v>
      </c>
    </row>
    <row r="115" spans="4:10" ht="18.75" x14ac:dyDescent="0.25">
      <c r="D115" s="3" t="s">
        <v>21</v>
      </c>
      <c r="E115" s="27" t="s">
        <v>281</v>
      </c>
      <c r="F115" s="3" t="s">
        <v>90</v>
      </c>
      <c r="G115" s="5">
        <v>30000</v>
      </c>
      <c r="H115" s="5">
        <v>30000</v>
      </c>
      <c r="I115" s="3" t="s">
        <v>282</v>
      </c>
      <c r="J115" s="41" t="s">
        <v>2</v>
      </c>
    </row>
    <row r="116" spans="4:10" ht="18.75" x14ac:dyDescent="0.25">
      <c r="D116" s="3" t="s">
        <v>32</v>
      </c>
      <c r="E116" s="27" t="s">
        <v>308</v>
      </c>
      <c r="F116" s="3" t="s">
        <v>309</v>
      </c>
      <c r="G116" s="5">
        <v>20000</v>
      </c>
      <c r="H116" s="5">
        <v>16598</v>
      </c>
      <c r="I116" s="3" t="s">
        <v>282</v>
      </c>
      <c r="J116" s="42" t="s">
        <v>2</v>
      </c>
    </row>
    <row r="117" spans="4:10" ht="18.75" x14ac:dyDescent="0.25">
      <c r="D117" s="3" t="s">
        <v>32</v>
      </c>
      <c r="E117" s="27" t="s">
        <v>308</v>
      </c>
      <c r="F117" s="3" t="s">
        <v>310</v>
      </c>
      <c r="G117" s="5">
        <v>30000</v>
      </c>
      <c r="H117" s="5">
        <v>30000</v>
      </c>
      <c r="I117" s="3" t="s">
        <v>282</v>
      </c>
      <c r="J117" s="42" t="s">
        <v>2</v>
      </c>
    </row>
    <row r="118" spans="4:10" ht="18.75" x14ac:dyDescent="0.25">
      <c r="D118" s="3" t="s">
        <v>21</v>
      </c>
      <c r="E118" s="27" t="s">
        <v>311</v>
      </c>
      <c r="F118" s="3" t="s">
        <v>136</v>
      </c>
      <c r="G118" s="5">
        <v>15000</v>
      </c>
      <c r="H118" s="5">
        <v>15000</v>
      </c>
      <c r="I118" s="3" t="s">
        <v>312</v>
      </c>
      <c r="J118" s="43" t="s">
        <v>2</v>
      </c>
    </row>
    <row r="119" spans="4:10" ht="18.75" x14ac:dyDescent="0.25">
      <c r="D119" s="3" t="s">
        <v>32</v>
      </c>
      <c r="E119" s="27" t="s">
        <v>149</v>
      </c>
      <c r="F119" s="3" t="s">
        <v>79</v>
      </c>
      <c r="G119" s="5">
        <v>15000</v>
      </c>
      <c r="H119" s="5">
        <v>15000</v>
      </c>
      <c r="I119" s="3" t="s">
        <v>312</v>
      </c>
      <c r="J119" s="44" t="s">
        <v>2</v>
      </c>
    </row>
    <row r="120" spans="4:10" ht="18.75" x14ac:dyDescent="0.25">
      <c r="D120" s="3" t="s">
        <v>21</v>
      </c>
      <c r="E120" s="27" t="s">
        <v>313</v>
      </c>
      <c r="F120" s="3" t="s">
        <v>314</v>
      </c>
      <c r="G120" s="5">
        <v>119000</v>
      </c>
      <c r="H120" s="5">
        <v>36800</v>
      </c>
      <c r="I120" s="3" t="s">
        <v>312</v>
      </c>
      <c r="J120" s="45" t="s">
        <v>2</v>
      </c>
    </row>
    <row r="121" spans="4:10" ht="18.75" x14ac:dyDescent="0.25">
      <c r="D121" s="3" t="s">
        <v>21</v>
      </c>
      <c r="E121" s="27" t="s">
        <v>316</v>
      </c>
      <c r="F121" s="3" t="s">
        <v>317</v>
      </c>
      <c r="G121" s="5">
        <v>5000</v>
      </c>
      <c r="H121" s="5">
        <v>5000</v>
      </c>
      <c r="I121" s="3" t="s">
        <v>318</v>
      </c>
      <c r="J121" s="46" t="s">
        <v>2</v>
      </c>
    </row>
    <row r="122" spans="4:10" ht="18.75" x14ac:dyDescent="0.25">
      <c r="D122" s="3" t="s">
        <v>5</v>
      </c>
      <c r="E122" s="27" t="s">
        <v>319</v>
      </c>
      <c r="F122" s="3" t="s">
        <v>320</v>
      </c>
      <c r="G122" s="5">
        <v>3000</v>
      </c>
      <c r="H122" s="5">
        <v>3000</v>
      </c>
      <c r="I122" s="3" t="s">
        <v>318</v>
      </c>
      <c r="J122" s="46" t="s">
        <v>2</v>
      </c>
    </row>
    <row r="123" spans="4:10" ht="18.75" x14ac:dyDescent="0.3">
      <c r="D123" s="143" t="s">
        <v>67</v>
      </c>
      <c r="E123" s="143"/>
      <c r="F123" s="143"/>
      <c r="G123" s="17">
        <f>SUM(G72:G122)</f>
        <v>1659450</v>
      </c>
      <c r="H123" s="17">
        <f>SUM(H72:H122)</f>
        <v>974094</v>
      </c>
      <c r="I123" s="144" t="s">
        <v>321</v>
      </c>
      <c r="J123" s="144"/>
    </row>
    <row r="124" spans="4:10" ht="18.75" x14ac:dyDescent="0.25">
      <c r="D124" s="3" t="s">
        <v>32</v>
      </c>
      <c r="E124" s="27" t="s">
        <v>322</v>
      </c>
      <c r="F124" s="3" t="s">
        <v>323</v>
      </c>
      <c r="G124" s="5">
        <v>10000</v>
      </c>
      <c r="H124" s="5">
        <v>9500</v>
      </c>
      <c r="I124" s="3" t="s">
        <v>324</v>
      </c>
      <c r="J124" s="47" t="s">
        <v>3</v>
      </c>
    </row>
    <row r="125" spans="4:10" ht="18.75" x14ac:dyDescent="0.25">
      <c r="D125" s="3" t="s">
        <v>32</v>
      </c>
      <c r="E125" s="27" t="s">
        <v>322</v>
      </c>
      <c r="F125" s="3" t="s">
        <v>325</v>
      </c>
      <c r="G125" s="5">
        <v>10000</v>
      </c>
      <c r="H125" s="5">
        <v>10000</v>
      </c>
      <c r="I125" s="3" t="s">
        <v>324</v>
      </c>
      <c r="J125" s="47" t="s">
        <v>3</v>
      </c>
    </row>
    <row r="126" spans="4:10" ht="18.75" x14ac:dyDescent="0.25">
      <c r="D126" s="3" t="s">
        <v>32</v>
      </c>
      <c r="E126" s="27" t="s">
        <v>335</v>
      </c>
      <c r="F126" s="3" t="s">
        <v>336</v>
      </c>
      <c r="G126" s="5">
        <v>5000</v>
      </c>
      <c r="H126" s="5">
        <v>5000</v>
      </c>
      <c r="I126" s="3" t="s">
        <v>337</v>
      </c>
      <c r="J126" s="51" t="s">
        <v>3</v>
      </c>
    </row>
    <row r="127" spans="4:10" ht="18.75" x14ac:dyDescent="0.25">
      <c r="D127" s="3" t="s">
        <v>21</v>
      </c>
      <c r="E127" s="27" t="s">
        <v>281</v>
      </c>
      <c r="F127" s="3" t="s">
        <v>338</v>
      </c>
      <c r="G127" s="5">
        <v>250000</v>
      </c>
      <c r="H127" s="5">
        <v>146200</v>
      </c>
      <c r="I127" s="3" t="s">
        <v>337</v>
      </c>
      <c r="J127" s="54" t="s">
        <v>3</v>
      </c>
    </row>
    <row r="128" spans="4:10" ht="18.75" x14ac:dyDescent="0.25">
      <c r="D128" s="3" t="s">
        <v>88</v>
      </c>
      <c r="E128" s="27" t="s">
        <v>339</v>
      </c>
      <c r="F128" s="3" t="s">
        <v>340</v>
      </c>
      <c r="G128" s="5">
        <v>3000</v>
      </c>
      <c r="H128" s="5">
        <v>3000</v>
      </c>
      <c r="I128" s="3" t="s">
        <v>337</v>
      </c>
      <c r="J128" s="55" t="s">
        <v>3</v>
      </c>
    </row>
    <row r="129" spans="4:10" ht="18.75" x14ac:dyDescent="0.25">
      <c r="D129" s="3" t="s">
        <v>88</v>
      </c>
      <c r="E129" s="27" t="s">
        <v>341</v>
      </c>
      <c r="F129" s="3" t="s">
        <v>340</v>
      </c>
      <c r="G129" s="5">
        <v>20000</v>
      </c>
      <c r="H129" s="5">
        <v>20000</v>
      </c>
      <c r="I129" s="3" t="s">
        <v>342</v>
      </c>
      <c r="J129" s="56" t="s">
        <v>3</v>
      </c>
    </row>
    <row r="130" spans="4:10" ht="18.75" x14ac:dyDescent="0.25">
      <c r="D130" s="3" t="s">
        <v>21</v>
      </c>
      <c r="E130" s="27" t="s">
        <v>343</v>
      </c>
      <c r="F130" s="3" t="s">
        <v>344</v>
      </c>
      <c r="G130" s="5">
        <v>25000</v>
      </c>
      <c r="H130" s="5">
        <v>25000</v>
      </c>
      <c r="I130" s="3" t="s">
        <v>345</v>
      </c>
      <c r="J130" s="57" t="s">
        <v>3</v>
      </c>
    </row>
    <row r="131" spans="4:10" ht="18.75" x14ac:dyDescent="0.25">
      <c r="D131" s="3" t="s">
        <v>88</v>
      </c>
      <c r="E131" s="27" t="s">
        <v>276</v>
      </c>
      <c r="F131" s="3" t="s">
        <v>347</v>
      </c>
      <c r="G131" s="5">
        <v>30000</v>
      </c>
      <c r="H131" s="5">
        <v>19794</v>
      </c>
      <c r="I131" s="3" t="s">
        <v>345</v>
      </c>
      <c r="J131" s="58" t="s">
        <v>3</v>
      </c>
    </row>
    <row r="132" spans="4:10" ht="18.75" x14ac:dyDescent="0.25">
      <c r="D132" s="3" t="s">
        <v>32</v>
      </c>
      <c r="E132" s="27" t="s">
        <v>348</v>
      </c>
      <c r="F132" s="3" t="s">
        <v>90</v>
      </c>
      <c r="G132" s="5">
        <v>3000</v>
      </c>
      <c r="H132" s="5">
        <v>3000</v>
      </c>
      <c r="I132" s="3" t="s">
        <v>345</v>
      </c>
      <c r="J132" s="58" t="s">
        <v>3</v>
      </c>
    </row>
    <row r="133" spans="4:10" ht="18.75" x14ac:dyDescent="0.25">
      <c r="D133" s="3" t="s">
        <v>32</v>
      </c>
      <c r="E133" s="27" t="s">
        <v>348</v>
      </c>
      <c r="F133" s="3" t="s">
        <v>349</v>
      </c>
      <c r="G133" s="5">
        <v>17200</v>
      </c>
      <c r="H133" s="5">
        <v>8295</v>
      </c>
      <c r="I133" s="3" t="s">
        <v>345</v>
      </c>
      <c r="J133" s="58" t="s">
        <v>3</v>
      </c>
    </row>
    <row r="134" spans="4:10" ht="18.75" x14ac:dyDescent="0.25">
      <c r="D134" s="3" t="s">
        <v>19</v>
      </c>
      <c r="E134" s="27" t="s">
        <v>350</v>
      </c>
      <c r="F134" s="3" t="s">
        <v>351</v>
      </c>
      <c r="G134" s="5">
        <v>20000</v>
      </c>
      <c r="H134" s="5">
        <v>16598</v>
      </c>
      <c r="I134" s="3" t="s">
        <v>352</v>
      </c>
      <c r="J134" s="59" t="s">
        <v>3</v>
      </c>
    </row>
    <row r="135" spans="4:10" ht="18.75" x14ac:dyDescent="0.25">
      <c r="D135" s="3" t="s">
        <v>32</v>
      </c>
      <c r="E135" s="27" t="s">
        <v>249</v>
      </c>
      <c r="F135" s="3" t="s">
        <v>353</v>
      </c>
      <c r="G135" s="5">
        <v>5000</v>
      </c>
      <c r="H135" s="5">
        <v>5000</v>
      </c>
      <c r="I135" s="3" t="s">
        <v>352</v>
      </c>
      <c r="J135" s="59" t="s">
        <v>3</v>
      </c>
    </row>
    <row r="136" spans="4:10" ht="18.75" x14ac:dyDescent="0.25">
      <c r="D136" s="3" t="s">
        <v>21</v>
      </c>
      <c r="E136" s="27" t="s">
        <v>355</v>
      </c>
      <c r="F136" s="3" t="s">
        <v>336</v>
      </c>
      <c r="G136" s="5">
        <v>5000</v>
      </c>
      <c r="H136" s="5">
        <v>5000</v>
      </c>
      <c r="I136" s="3" t="s">
        <v>354</v>
      </c>
      <c r="J136" s="60" t="s">
        <v>3</v>
      </c>
    </row>
    <row r="137" spans="4:10" ht="18.75" x14ac:dyDescent="0.25">
      <c r="D137" s="3" t="s">
        <v>32</v>
      </c>
      <c r="E137" s="27" t="s">
        <v>249</v>
      </c>
      <c r="F137" s="3" t="s">
        <v>356</v>
      </c>
      <c r="G137" s="5">
        <v>10000</v>
      </c>
      <c r="H137" s="5">
        <v>10000</v>
      </c>
      <c r="I137" s="3" t="s">
        <v>354</v>
      </c>
      <c r="J137" s="61" t="s">
        <v>3</v>
      </c>
    </row>
    <row r="138" spans="4:10" ht="18.75" x14ac:dyDescent="0.25">
      <c r="D138" s="3" t="s">
        <v>21</v>
      </c>
      <c r="E138" s="27" t="s">
        <v>173</v>
      </c>
      <c r="F138" s="3" t="s">
        <v>357</v>
      </c>
      <c r="G138" s="5">
        <v>30000</v>
      </c>
      <c r="H138" s="5">
        <v>30000</v>
      </c>
      <c r="I138" s="3" t="s">
        <v>354</v>
      </c>
      <c r="J138" s="62" t="s">
        <v>3</v>
      </c>
    </row>
    <row r="139" spans="4:10" ht="18.75" x14ac:dyDescent="0.25">
      <c r="D139" s="3" t="s">
        <v>32</v>
      </c>
      <c r="E139" s="27" t="s">
        <v>359</v>
      </c>
      <c r="F139" s="3" t="s">
        <v>90</v>
      </c>
      <c r="G139" s="5">
        <v>3000</v>
      </c>
      <c r="H139" s="5">
        <v>3000</v>
      </c>
      <c r="I139" s="3" t="s">
        <v>358</v>
      </c>
      <c r="J139" s="62" t="s">
        <v>3</v>
      </c>
    </row>
    <row r="140" spans="4:10" ht="18.75" x14ac:dyDescent="0.25">
      <c r="D140" s="3" t="s">
        <v>32</v>
      </c>
      <c r="E140" s="27" t="s">
        <v>359</v>
      </c>
      <c r="F140" s="3" t="s">
        <v>360</v>
      </c>
      <c r="G140" s="5">
        <v>90000</v>
      </c>
      <c r="H140" s="5">
        <v>26200</v>
      </c>
      <c r="I140" s="3" t="s">
        <v>358</v>
      </c>
      <c r="J140" s="62" t="s">
        <v>3</v>
      </c>
    </row>
    <row r="141" spans="4:10" ht="18.75" x14ac:dyDescent="0.25">
      <c r="D141" s="3" t="s">
        <v>88</v>
      </c>
      <c r="E141" s="4" t="s">
        <v>99</v>
      </c>
      <c r="F141" s="3" t="s">
        <v>362</v>
      </c>
      <c r="G141" s="5">
        <v>12000</v>
      </c>
      <c r="H141" s="5">
        <v>12000</v>
      </c>
      <c r="I141" s="3" t="s">
        <v>358</v>
      </c>
      <c r="J141" s="62" t="s">
        <v>3</v>
      </c>
    </row>
    <row r="142" spans="4:10" ht="18.75" x14ac:dyDescent="0.25">
      <c r="D142" s="3" t="s">
        <v>88</v>
      </c>
      <c r="E142" s="4" t="s">
        <v>99</v>
      </c>
      <c r="F142" s="3" t="s">
        <v>361</v>
      </c>
      <c r="G142" s="5">
        <v>22000</v>
      </c>
      <c r="H142" s="5">
        <v>22000</v>
      </c>
      <c r="I142" s="3" t="s">
        <v>358</v>
      </c>
      <c r="J142" s="62" t="s">
        <v>3</v>
      </c>
    </row>
    <row r="143" spans="4:10" ht="18.75" x14ac:dyDescent="0.25">
      <c r="D143" s="3" t="s">
        <v>32</v>
      </c>
      <c r="E143" s="4" t="s">
        <v>363</v>
      </c>
      <c r="F143" s="3" t="s">
        <v>364</v>
      </c>
      <c r="G143" s="5">
        <v>10000</v>
      </c>
      <c r="H143" s="5">
        <v>10000</v>
      </c>
      <c r="I143" s="3" t="s">
        <v>358</v>
      </c>
      <c r="J143" s="63" t="s">
        <v>3</v>
      </c>
    </row>
    <row r="144" spans="4:10" ht="18.75" x14ac:dyDescent="0.25">
      <c r="D144" s="3" t="s">
        <v>21</v>
      </c>
      <c r="E144" s="4" t="s">
        <v>365</v>
      </c>
      <c r="F144" s="3" t="s">
        <v>366</v>
      </c>
      <c r="G144" s="5">
        <v>100000</v>
      </c>
      <c r="H144" s="5">
        <v>53800</v>
      </c>
      <c r="I144" s="3" t="s">
        <v>367</v>
      </c>
      <c r="J144" s="64" t="s">
        <v>3</v>
      </c>
    </row>
    <row r="145" spans="4:10" ht="18.75" x14ac:dyDescent="0.25">
      <c r="D145" s="3" t="s">
        <v>21</v>
      </c>
      <c r="E145" s="4" t="s">
        <v>365</v>
      </c>
      <c r="F145" s="3" t="s">
        <v>90</v>
      </c>
      <c r="G145" s="5">
        <v>10000</v>
      </c>
      <c r="H145" s="5">
        <v>10000</v>
      </c>
      <c r="I145" s="3" t="s">
        <v>367</v>
      </c>
      <c r="J145" s="65" t="s">
        <v>3</v>
      </c>
    </row>
    <row r="146" spans="4:10" ht="18.75" x14ac:dyDescent="0.25">
      <c r="D146" s="3" t="s">
        <v>21</v>
      </c>
      <c r="E146" s="27" t="s">
        <v>368</v>
      </c>
      <c r="F146" s="3" t="s">
        <v>353</v>
      </c>
      <c r="G146" s="5">
        <v>15000</v>
      </c>
      <c r="H146" s="5">
        <v>15000</v>
      </c>
      <c r="I146" s="3" t="s">
        <v>367</v>
      </c>
      <c r="J146" s="66" t="s">
        <v>3</v>
      </c>
    </row>
    <row r="147" spans="4:10" ht="18.75" x14ac:dyDescent="0.25">
      <c r="D147" s="3" t="s">
        <v>21</v>
      </c>
      <c r="E147" s="27" t="s">
        <v>713</v>
      </c>
      <c r="F147" s="3" t="s">
        <v>714</v>
      </c>
      <c r="G147" s="5">
        <v>20000</v>
      </c>
      <c r="H147" s="5">
        <v>13200</v>
      </c>
      <c r="I147" s="3" t="s">
        <v>367</v>
      </c>
      <c r="J147" s="93" t="s">
        <v>3</v>
      </c>
    </row>
    <row r="148" spans="4:10" ht="18.75" x14ac:dyDescent="0.25">
      <c r="D148" s="3" t="s">
        <v>21</v>
      </c>
      <c r="E148" s="27" t="s">
        <v>713</v>
      </c>
      <c r="F148" s="3" t="s">
        <v>715</v>
      </c>
      <c r="G148" s="5">
        <v>90000</v>
      </c>
      <c r="H148" s="5">
        <v>90000</v>
      </c>
      <c r="I148" s="3" t="s">
        <v>367</v>
      </c>
      <c r="J148" s="93" t="s">
        <v>3</v>
      </c>
    </row>
    <row r="149" spans="4:10" ht="18.75" x14ac:dyDescent="0.25">
      <c r="D149" s="3" t="s">
        <v>32</v>
      </c>
      <c r="E149" s="27" t="s">
        <v>369</v>
      </c>
      <c r="F149" s="3" t="s">
        <v>83</v>
      </c>
      <c r="G149" s="5">
        <v>44000</v>
      </c>
      <c r="H149" s="5">
        <v>22400</v>
      </c>
      <c r="I149" s="3" t="s">
        <v>370</v>
      </c>
      <c r="J149" s="67" t="s">
        <v>3</v>
      </c>
    </row>
    <row r="150" spans="4:10" ht="18.75" x14ac:dyDescent="0.25">
      <c r="D150" s="3" t="s">
        <v>32</v>
      </c>
      <c r="E150" s="27" t="s">
        <v>85</v>
      </c>
      <c r="F150" s="3" t="s">
        <v>371</v>
      </c>
      <c r="G150" s="5">
        <v>7000</v>
      </c>
      <c r="H150" s="5">
        <v>7000</v>
      </c>
      <c r="I150" s="3" t="s">
        <v>372</v>
      </c>
      <c r="J150" s="68" t="s">
        <v>3</v>
      </c>
    </row>
    <row r="151" spans="4:10" ht="18.75" x14ac:dyDescent="0.25">
      <c r="D151" s="3" t="s">
        <v>21</v>
      </c>
      <c r="E151" s="27" t="s">
        <v>175</v>
      </c>
      <c r="F151" s="3" t="s">
        <v>373</v>
      </c>
      <c r="G151" s="5">
        <v>30000</v>
      </c>
      <c r="H151" s="5">
        <v>30000</v>
      </c>
      <c r="I151" s="3" t="s">
        <v>372</v>
      </c>
      <c r="J151" s="69" t="s">
        <v>3</v>
      </c>
    </row>
    <row r="152" spans="4:10" ht="18.75" x14ac:dyDescent="0.25">
      <c r="D152" s="3" t="s">
        <v>21</v>
      </c>
      <c r="E152" s="27" t="s">
        <v>374</v>
      </c>
      <c r="F152" s="3" t="s">
        <v>375</v>
      </c>
      <c r="G152" s="5">
        <v>10000</v>
      </c>
      <c r="H152" s="5">
        <v>10000</v>
      </c>
      <c r="I152" s="3" t="s">
        <v>372</v>
      </c>
      <c r="J152" s="70" t="s">
        <v>3</v>
      </c>
    </row>
    <row r="153" spans="4:10" ht="18.75" x14ac:dyDescent="0.25">
      <c r="D153" s="3" t="s">
        <v>21</v>
      </c>
      <c r="E153" s="27" t="s">
        <v>376</v>
      </c>
      <c r="F153" s="3" t="s">
        <v>375</v>
      </c>
      <c r="G153" s="5">
        <v>7000</v>
      </c>
      <c r="H153" s="5">
        <v>7000</v>
      </c>
      <c r="I153" s="3" t="s">
        <v>372</v>
      </c>
      <c r="J153" s="70" t="s">
        <v>3</v>
      </c>
    </row>
    <row r="154" spans="4:10" ht="18.75" x14ac:dyDescent="0.25">
      <c r="D154" s="3" t="s">
        <v>32</v>
      </c>
      <c r="E154" s="27" t="s">
        <v>377</v>
      </c>
      <c r="F154" s="3" t="s">
        <v>336</v>
      </c>
      <c r="G154" s="5">
        <v>5000</v>
      </c>
      <c r="H154" s="5">
        <v>5000</v>
      </c>
      <c r="I154" s="3" t="s">
        <v>378</v>
      </c>
      <c r="J154" s="71" t="s">
        <v>3</v>
      </c>
    </row>
    <row r="155" spans="4:10" ht="18.75" x14ac:dyDescent="0.25">
      <c r="D155" s="3" t="s">
        <v>21</v>
      </c>
      <c r="E155" s="27" t="s">
        <v>243</v>
      </c>
      <c r="F155" s="3" t="s">
        <v>244</v>
      </c>
      <c r="G155" s="5">
        <v>25000</v>
      </c>
      <c r="H155" s="5">
        <v>25000</v>
      </c>
      <c r="I155" s="3" t="s">
        <v>378</v>
      </c>
      <c r="J155" s="72" t="s">
        <v>3</v>
      </c>
    </row>
    <row r="156" spans="4:10" ht="18.75" x14ac:dyDescent="0.25">
      <c r="D156" s="3" t="s">
        <v>32</v>
      </c>
      <c r="E156" s="27" t="s">
        <v>379</v>
      </c>
      <c r="F156" s="3" t="s">
        <v>380</v>
      </c>
      <c r="G156" s="5">
        <v>4000</v>
      </c>
      <c r="H156" s="5">
        <v>4000</v>
      </c>
      <c r="I156" s="3" t="s">
        <v>378</v>
      </c>
      <c r="J156" s="73" t="s">
        <v>3</v>
      </c>
    </row>
    <row r="157" spans="4:10" ht="18.75" x14ac:dyDescent="0.25">
      <c r="D157" s="3" t="s">
        <v>19</v>
      </c>
      <c r="E157" s="27" t="s">
        <v>350</v>
      </c>
      <c r="F157" s="3" t="s">
        <v>381</v>
      </c>
      <c r="G157" s="5">
        <v>20000</v>
      </c>
      <c r="H157" s="5">
        <v>16598</v>
      </c>
      <c r="I157" s="3" t="s">
        <v>378</v>
      </c>
      <c r="J157" s="73" t="s">
        <v>3</v>
      </c>
    </row>
    <row r="158" spans="4:10" ht="18.75" x14ac:dyDescent="0.25">
      <c r="D158" s="3" t="s">
        <v>88</v>
      </c>
      <c r="E158" s="27" t="s">
        <v>133</v>
      </c>
      <c r="F158" s="3" t="s">
        <v>251</v>
      </c>
      <c r="G158" s="5">
        <v>15000</v>
      </c>
      <c r="H158" s="5">
        <v>15000</v>
      </c>
      <c r="I158" s="3" t="s">
        <v>378</v>
      </c>
      <c r="J158" s="73" t="s">
        <v>3</v>
      </c>
    </row>
    <row r="159" spans="4:10" ht="18.75" x14ac:dyDescent="0.25">
      <c r="D159" s="3" t="s">
        <v>21</v>
      </c>
      <c r="E159" s="27" t="s">
        <v>382</v>
      </c>
      <c r="F159" s="3" t="s">
        <v>384</v>
      </c>
      <c r="G159" s="5">
        <v>12000</v>
      </c>
      <c r="H159" s="5">
        <v>9930</v>
      </c>
      <c r="I159" s="3" t="s">
        <v>383</v>
      </c>
      <c r="J159" s="73" t="s">
        <v>3</v>
      </c>
    </row>
    <row r="160" spans="4:10" ht="18.75" x14ac:dyDescent="0.25">
      <c r="D160" s="3" t="s">
        <v>21</v>
      </c>
      <c r="E160" s="27" t="s">
        <v>365</v>
      </c>
      <c r="F160" s="3" t="s">
        <v>385</v>
      </c>
      <c r="G160" s="5">
        <v>10000</v>
      </c>
      <c r="H160" s="5">
        <v>10000</v>
      </c>
      <c r="I160" s="3" t="s">
        <v>383</v>
      </c>
      <c r="J160" s="73" t="s">
        <v>3</v>
      </c>
    </row>
    <row r="161" spans="4:10" ht="18.75" x14ac:dyDescent="0.25">
      <c r="D161" s="3" t="s">
        <v>21</v>
      </c>
      <c r="E161" s="27" t="s">
        <v>157</v>
      </c>
      <c r="F161" s="3" t="s">
        <v>158</v>
      </c>
      <c r="G161" s="5">
        <v>10000</v>
      </c>
      <c r="H161" s="5">
        <v>10000</v>
      </c>
      <c r="I161" s="3" t="s">
        <v>386</v>
      </c>
      <c r="J161" s="74" t="s">
        <v>3</v>
      </c>
    </row>
    <row r="162" spans="4:10" ht="18.75" x14ac:dyDescent="0.25">
      <c r="D162" s="3" t="s">
        <v>21</v>
      </c>
      <c r="E162" s="27" t="s">
        <v>387</v>
      </c>
      <c r="F162" s="3" t="s">
        <v>384</v>
      </c>
      <c r="G162" s="5">
        <v>6750</v>
      </c>
      <c r="H162" s="5">
        <v>4725</v>
      </c>
      <c r="I162" s="3" t="s">
        <v>386</v>
      </c>
      <c r="J162" s="74" t="s">
        <v>3</v>
      </c>
    </row>
    <row r="163" spans="4:10" ht="18.75" x14ac:dyDescent="0.25">
      <c r="D163" s="3" t="s">
        <v>32</v>
      </c>
      <c r="E163" s="27" t="s">
        <v>388</v>
      </c>
      <c r="F163" s="3" t="s">
        <v>244</v>
      </c>
      <c r="G163" s="5">
        <v>25000</v>
      </c>
      <c r="H163" s="5">
        <v>25000</v>
      </c>
      <c r="I163" s="3" t="s">
        <v>389</v>
      </c>
      <c r="J163" s="75" t="s">
        <v>3</v>
      </c>
    </row>
    <row r="164" spans="4:10" ht="18.75" x14ac:dyDescent="0.25">
      <c r="D164" s="3" t="s">
        <v>21</v>
      </c>
      <c r="E164" s="27" t="s">
        <v>390</v>
      </c>
      <c r="F164" s="3" t="s">
        <v>384</v>
      </c>
      <c r="G164" s="5">
        <v>13000</v>
      </c>
      <c r="H164" s="5">
        <v>9598</v>
      </c>
      <c r="I164" s="3" t="s">
        <v>389</v>
      </c>
      <c r="J164" s="76" t="s">
        <v>3</v>
      </c>
    </row>
    <row r="165" spans="4:10" ht="18.75" x14ac:dyDescent="0.25">
      <c r="D165" s="3" t="s">
        <v>21</v>
      </c>
      <c r="E165" s="27" t="s">
        <v>390</v>
      </c>
      <c r="F165" s="3" t="s">
        <v>391</v>
      </c>
      <c r="G165" s="5">
        <v>30000</v>
      </c>
      <c r="H165" s="5">
        <v>30000</v>
      </c>
      <c r="I165" s="3" t="s">
        <v>389</v>
      </c>
      <c r="J165" s="76" t="s">
        <v>3</v>
      </c>
    </row>
    <row r="166" spans="4:10" ht="18.75" x14ac:dyDescent="0.25">
      <c r="D166" s="3" t="s">
        <v>21</v>
      </c>
      <c r="E166" s="27" t="s">
        <v>274</v>
      </c>
      <c r="F166" s="3" t="s">
        <v>392</v>
      </c>
      <c r="G166" s="5">
        <v>15000</v>
      </c>
      <c r="H166" s="5">
        <v>15000</v>
      </c>
      <c r="I166" s="3" t="s">
        <v>393</v>
      </c>
      <c r="J166" s="77" t="s">
        <v>3</v>
      </c>
    </row>
    <row r="167" spans="4:10" ht="18.75" x14ac:dyDescent="0.25">
      <c r="D167" s="3" t="s">
        <v>21</v>
      </c>
      <c r="E167" s="27" t="s">
        <v>394</v>
      </c>
      <c r="F167" s="3" t="s">
        <v>384</v>
      </c>
      <c r="G167" s="5">
        <v>12000</v>
      </c>
      <c r="H167" s="5">
        <v>9930</v>
      </c>
      <c r="I167" s="3" t="s">
        <v>395</v>
      </c>
      <c r="J167" s="78" t="s">
        <v>3</v>
      </c>
    </row>
    <row r="168" spans="4:10" ht="18.75" x14ac:dyDescent="0.25">
      <c r="D168" s="3" t="s">
        <v>21</v>
      </c>
      <c r="E168" s="27" t="s">
        <v>396</v>
      </c>
      <c r="F168" s="3" t="s">
        <v>397</v>
      </c>
      <c r="G168" s="5">
        <v>4800</v>
      </c>
      <c r="H168" s="5">
        <v>3300</v>
      </c>
      <c r="I168" s="3" t="s">
        <v>395</v>
      </c>
      <c r="J168" s="79" t="s">
        <v>3</v>
      </c>
    </row>
    <row r="169" spans="4:10" ht="18.75" x14ac:dyDescent="0.25">
      <c r="D169" s="3" t="s">
        <v>21</v>
      </c>
      <c r="E169" s="27" t="s">
        <v>396</v>
      </c>
      <c r="F169" s="3" t="s">
        <v>398</v>
      </c>
      <c r="G169" s="5">
        <v>6000</v>
      </c>
      <c r="H169" s="5">
        <v>3000</v>
      </c>
      <c r="I169" s="3" t="s">
        <v>395</v>
      </c>
      <c r="J169" s="80" t="s">
        <v>3</v>
      </c>
    </row>
    <row r="170" spans="4:10" ht="18.75" x14ac:dyDescent="0.25">
      <c r="D170" s="3" t="s">
        <v>88</v>
      </c>
      <c r="E170" s="27" t="s">
        <v>339</v>
      </c>
      <c r="F170" s="3" t="s">
        <v>399</v>
      </c>
      <c r="G170" s="5">
        <v>70000</v>
      </c>
      <c r="H170" s="5">
        <v>70000</v>
      </c>
      <c r="I170" s="3" t="s">
        <v>400</v>
      </c>
      <c r="J170" s="79" t="s">
        <v>3</v>
      </c>
    </row>
    <row r="171" spans="4:10" ht="18.75" x14ac:dyDescent="0.25">
      <c r="D171" s="3" t="s">
        <v>32</v>
      </c>
      <c r="E171" s="27" t="s">
        <v>72</v>
      </c>
      <c r="F171" s="3" t="s">
        <v>401</v>
      </c>
      <c r="G171" s="5">
        <v>9000</v>
      </c>
      <c r="H171" s="5">
        <v>9000</v>
      </c>
      <c r="I171" s="3" t="s">
        <v>400</v>
      </c>
      <c r="J171" s="80" t="s">
        <v>3</v>
      </c>
    </row>
    <row r="172" spans="4:10" ht="18.75" x14ac:dyDescent="0.25">
      <c r="D172" s="3" t="s">
        <v>32</v>
      </c>
      <c r="E172" s="27" t="s">
        <v>72</v>
      </c>
      <c r="F172" s="3" t="s">
        <v>402</v>
      </c>
      <c r="G172" s="5">
        <v>9000</v>
      </c>
      <c r="H172" s="5">
        <v>9000</v>
      </c>
      <c r="I172" s="3" t="s">
        <v>400</v>
      </c>
      <c r="J172" s="80" t="s">
        <v>3</v>
      </c>
    </row>
    <row r="173" spans="4:10" ht="18.75" x14ac:dyDescent="0.25">
      <c r="D173" s="3" t="s">
        <v>32</v>
      </c>
      <c r="E173" s="27" t="s">
        <v>404</v>
      </c>
      <c r="F173" s="3" t="s">
        <v>403</v>
      </c>
      <c r="G173" s="5">
        <v>9000</v>
      </c>
      <c r="H173" s="5">
        <v>9000</v>
      </c>
      <c r="I173" s="3" t="s">
        <v>400</v>
      </c>
      <c r="J173" s="80" t="s">
        <v>3</v>
      </c>
    </row>
    <row r="174" spans="4:10" ht="18.75" x14ac:dyDescent="0.25">
      <c r="D174" s="3" t="s">
        <v>32</v>
      </c>
      <c r="E174" s="27" t="s">
        <v>405</v>
      </c>
      <c r="F174" s="3" t="s">
        <v>90</v>
      </c>
      <c r="G174" s="5">
        <v>15000</v>
      </c>
      <c r="H174" s="5">
        <v>15000</v>
      </c>
      <c r="I174" s="3" t="s">
        <v>406</v>
      </c>
      <c r="J174" s="81" t="s">
        <v>3</v>
      </c>
    </row>
    <row r="175" spans="4:10" ht="18.75" x14ac:dyDescent="0.25">
      <c r="D175" s="3" t="s">
        <v>5</v>
      </c>
      <c r="E175" s="27" t="s">
        <v>407</v>
      </c>
      <c r="F175" s="3" t="s">
        <v>408</v>
      </c>
      <c r="G175" s="5">
        <v>16560</v>
      </c>
      <c r="H175" s="5">
        <v>8160</v>
      </c>
      <c r="I175" s="3" t="s">
        <v>410</v>
      </c>
      <c r="J175" s="82" t="s">
        <v>3</v>
      </c>
    </row>
    <row r="176" spans="4:10" ht="18.75" x14ac:dyDescent="0.25">
      <c r="D176" s="3" t="s">
        <v>5</v>
      </c>
      <c r="E176" s="27" t="s">
        <v>407</v>
      </c>
      <c r="F176" s="3" t="s">
        <v>409</v>
      </c>
      <c r="G176" s="5">
        <v>12000</v>
      </c>
      <c r="H176" s="5">
        <v>12000</v>
      </c>
      <c r="I176" s="3" t="s">
        <v>410</v>
      </c>
      <c r="J176" s="82" t="s">
        <v>3</v>
      </c>
    </row>
    <row r="177" spans="4:10" ht="18.75" x14ac:dyDescent="0.25">
      <c r="D177" s="3" t="s">
        <v>32</v>
      </c>
      <c r="E177" s="27" t="s">
        <v>411</v>
      </c>
      <c r="F177" s="3" t="s">
        <v>412</v>
      </c>
      <c r="G177" s="5">
        <v>121860</v>
      </c>
      <c r="H177" s="5">
        <v>103180</v>
      </c>
      <c r="I177" s="3" t="s">
        <v>410</v>
      </c>
      <c r="J177" s="82" t="s">
        <v>3</v>
      </c>
    </row>
    <row r="178" spans="4:10" ht="18.75" x14ac:dyDescent="0.25">
      <c r="D178" s="3" t="s">
        <v>32</v>
      </c>
      <c r="E178" s="27" t="s">
        <v>411</v>
      </c>
      <c r="F178" s="3" t="s">
        <v>413</v>
      </c>
      <c r="G178" s="5">
        <v>248000</v>
      </c>
      <c r="H178" s="5">
        <v>248000</v>
      </c>
      <c r="I178" s="3" t="s">
        <v>410</v>
      </c>
      <c r="J178" s="82" t="s">
        <v>3</v>
      </c>
    </row>
    <row r="179" spans="4:10" ht="18.75" x14ac:dyDescent="0.25">
      <c r="D179" s="3" t="s">
        <v>88</v>
      </c>
      <c r="E179" s="27" t="s">
        <v>414</v>
      </c>
      <c r="F179" s="3" t="s">
        <v>415</v>
      </c>
      <c r="G179" s="5">
        <v>5000</v>
      </c>
      <c r="H179" s="5">
        <v>5000</v>
      </c>
      <c r="I179" s="3" t="s">
        <v>416</v>
      </c>
      <c r="J179" s="83" t="s">
        <v>3</v>
      </c>
    </row>
    <row r="180" spans="4:10" ht="18.75" x14ac:dyDescent="0.25">
      <c r="D180" s="3" t="s">
        <v>88</v>
      </c>
      <c r="E180" s="27" t="s">
        <v>417</v>
      </c>
      <c r="F180" s="3" t="s">
        <v>280</v>
      </c>
      <c r="G180" s="5">
        <v>240000</v>
      </c>
      <c r="H180" s="5">
        <v>13479</v>
      </c>
      <c r="I180" s="3" t="s">
        <v>416</v>
      </c>
      <c r="J180" s="83" t="s">
        <v>3</v>
      </c>
    </row>
    <row r="181" spans="4:10" ht="18.75" x14ac:dyDescent="0.25">
      <c r="D181" s="3" t="s">
        <v>21</v>
      </c>
      <c r="E181" s="27" t="s">
        <v>243</v>
      </c>
      <c r="F181" s="3" t="s">
        <v>136</v>
      </c>
      <c r="G181" s="5">
        <v>15000</v>
      </c>
      <c r="H181" s="5">
        <v>15000</v>
      </c>
      <c r="I181" s="3" t="s">
        <v>416</v>
      </c>
      <c r="J181" s="83" t="s">
        <v>3</v>
      </c>
    </row>
    <row r="182" spans="4:10" ht="18.75" x14ac:dyDescent="0.25">
      <c r="D182" s="3" t="s">
        <v>32</v>
      </c>
      <c r="E182" s="27" t="s">
        <v>418</v>
      </c>
      <c r="F182" s="3" t="s">
        <v>419</v>
      </c>
      <c r="G182" s="5">
        <v>30000</v>
      </c>
      <c r="H182" s="5">
        <v>30000</v>
      </c>
      <c r="I182" s="3" t="s">
        <v>420</v>
      </c>
      <c r="J182" s="84" t="s">
        <v>3</v>
      </c>
    </row>
    <row r="183" spans="4:10" ht="18.75" x14ac:dyDescent="0.25">
      <c r="D183" s="3" t="s">
        <v>32</v>
      </c>
      <c r="E183" s="27" t="s">
        <v>421</v>
      </c>
      <c r="F183" s="3" t="s">
        <v>415</v>
      </c>
      <c r="G183" s="5">
        <v>60000</v>
      </c>
      <c r="H183" s="5">
        <v>60000</v>
      </c>
      <c r="I183" s="3" t="s">
        <v>420</v>
      </c>
      <c r="J183" s="85" t="s">
        <v>3</v>
      </c>
    </row>
    <row r="184" spans="4:10" ht="18.75" x14ac:dyDescent="0.25">
      <c r="D184" s="3" t="s">
        <v>32</v>
      </c>
      <c r="E184" s="27" t="s">
        <v>421</v>
      </c>
      <c r="F184" s="3" t="s">
        <v>422</v>
      </c>
      <c r="G184" s="5">
        <v>21300</v>
      </c>
      <c r="H184" s="5">
        <v>10360</v>
      </c>
      <c r="I184" s="3" t="s">
        <v>420</v>
      </c>
      <c r="J184" s="85" t="s">
        <v>3</v>
      </c>
    </row>
    <row r="185" spans="4:10" ht="18.75" x14ac:dyDescent="0.25">
      <c r="D185" s="3" t="s">
        <v>32</v>
      </c>
      <c r="E185" s="27" t="s">
        <v>423</v>
      </c>
      <c r="F185" s="3" t="s">
        <v>83</v>
      </c>
      <c r="G185" s="5">
        <v>44000</v>
      </c>
      <c r="H185" s="5">
        <v>22400</v>
      </c>
      <c r="I185" s="3" t="s">
        <v>420</v>
      </c>
      <c r="J185" s="85" t="s">
        <v>3</v>
      </c>
    </row>
    <row r="186" spans="4:10" ht="18.75" x14ac:dyDescent="0.25">
      <c r="D186" s="3" t="s">
        <v>32</v>
      </c>
      <c r="E186" s="27" t="s">
        <v>423</v>
      </c>
      <c r="F186" s="3" t="s">
        <v>90</v>
      </c>
      <c r="G186" s="5">
        <v>7000</v>
      </c>
      <c r="H186" s="5">
        <v>7000</v>
      </c>
      <c r="I186" s="3" t="s">
        <v>420</v>
      </c>
      <c r="J186" s="85" t="s">
        <v>3</v>
      </c>
    </row>
    <row r="187" spans="4:10" ht="18.75" x14ac:dyDescent="0.3">
      <c r="D187" s="143" t="s">
        <v>67</v>
      </c>
      <c r="E187" s="143"/>
      <c r="F187" s="143"/>
      <c r="G187" s="7">
        <f>SUM(G124:G186)</f>
        <v>2059470</v>
      </c>
      <c r="H187" s="7">
        <f>SUM(H124:H186)</f>
        <v>1490647</v>
      </c>
      <c r="I187" s="144" t="s">
        <v>334</v>
      </c>
      <c r="J187" s="144"/>
    </row>
    <row r="188" spans="4:10" ht="18.75" x14ac:dyDescent="0.25">
      <c r="D188" s="3" t="s">
        <v>21</v>
      </c>
      <c r="E188" s="27" t="s">
        <v>170</v>
      </c>
      <c r="F188" s="3" t="s">
        <v>158</v>
      </c>
      <c r="G188" s="5">
        <v>25000</v>
      </c>
      <c r="H188" s="5">
        <v>25000</v>
      </c>
      <c r="I188" s="3" t="s">
        <v>424</v>
      </c>
      <c r="J188" s="85" t="s">
        <v>4</v>
      </c>
    </row>
    <row r="189" spans="4:10" ht="18.75" x14ac:dyDescent="0.25">
      <c r="D189" s="3" t="s">
        <v>21</v>
      </c>
      <c r="E189" s="27" t="s">
        <v>425</v>
      </c>
      <c r="F189" s="3" t="s">
        <v>384</v>
      </c>
      <c r="G189" s="5">
        <v>12000</v>
      </c>
      <c r="H189" s="5">
        <v>9975</v>
      </c>
      <c r="I189" s="3" t="s">
        <v>426</v>
      </c>
      <c r="J189" s="86" t="s">
        <v>4</v>
      </c>
    </row>
    <row r="190" spans="4:10" ht="18.75" x14ac:dyDescent="0.25">
      <c r="D190" s="3" t="s">
        <v>21</v>
      </c>
      <c r="E190" s="27" t="s">
        <v>427</v>
      </c>
      <c r="F190" s="3" t="s">
        <v>158</v>
      </c>
      <c r="G190" s="5">
        <v>30000</v>
      </c>
      <c r="H190" s="5">
        <v>30000</v>
      </c>
      <c r="I190" s="3" t="s">
        <v>428</v>
      </c>
      <c r="J190" s="87" t="s">
        <v>4</v>
      </c>
    </row>
    <row r="191" spans="4:10" ht="18.75" x14ac:dyDescent="0.25">
      <c r="D191" s="3" t="s">
        <v>88</v>
      </c>
      <c r="E191" s="27" t="s">
        <v>429</v>
      </c>
      <c r="F191" s="3" t="s">
        <v>336</v>
      </c>
      <c r="G191" s="5">
        <v>5000</v>
      </c>
      <c r="H191" s="5">
        <v>5000</v>
      </c>
      <c r="I191" s="3" t="s">
        <v>430</v>
      </c>
      <c r="J191" s="88" t="s">
        <v>4</v>
      </c>
    </row>
    <row r="192" spans="4:10" ht="18.75" x14ac:dyDescent="0.25">
      <c r="D192" s="3" t="s">
        <v>21</v>
      </c>
      <c r="E192" s="27" t="s">
        <v>175</v>
      </c>
      <c r="F192" s="3" t="s">
        <v>158</v>
      </c>
      <c r="G192" s="5">
        <v>30000</v>
      </c>
      <c r="H192" s="5">
        <v>30000</v>
      </c>
      <c r="I192" s="3" t="s">
        <v>431</v>
      </c>
      <c r="J192" s="88" t="s">
        <v>4</v>
      </c>
    </row>
    <row r="193" spans="4:10" ht="18.75" x14ac:dyDescent="0.25">
      <c r="D193" s="3" t="s">
        <v>21</v>
      </c>
      <c r="E193" s="27" t="s">
        <v>432</v>
      </c>
      <c r="F193" s="3" t="s">
        <v>90</v>
      </c>
      <c r="G193" s="5">
        <v>5000</v>
      </c>
      <c r="H193" s="5">
        <v>5000</v>
      </c>
      <c r="I193" s="3" t="s">
        <v>431</v>
      </c>
      <c r="J193" s="88" t="s">
        <v>4</v>
      </c>
    </row>
    <row r="194" spans="4:10" ht="18.75" x14ac:dyDescent="0.25">
      <c r="D194" s="3" t="s">
        <v>21</v>
      </c>
      <c r="E194" s="27" t="s">
        <v>281</v>
      </c>
      <c r="F194" s="3" t="s">
        <v>83</v>
      </c>
      <c r="G194" s="5">
        <v>120000</v>
      </c>
      <c r="H194" s="5">
        <v>84000</v>
      </c>
      <c r="I194" s="3" t="s">
        <v>433</v>
      </c>
      <c r="J194" s="88" t="s">
        <v>4</v>
      </c>
    </row>
    <row r="195" spans="4:10" ht="18.75" x14ac:dyDescent="0.25">
      <c r="D195" s="3" t="s">
        <v>21</v>
      </c>
      <c r="E195" s="27" t="s">
        <v>434</v>
      </c>
      <c r="F195" s="3" t="s">
        <v>178</v>
      </c>
      <c r="G195" s="5">
        <v>20000</v>
      </c>
      <c r="H195" s="5">
        <v>13200</v>
      </c>
      <c r="I195" s="3" t="s">
        <v>433</v>
      </c>
      <c r="J195" s="89" t="s">
        <v>4</v>
      </c>
    </row>
    <row r="196" spans="4:10" ht="18.75" x14ac:dyDescent="0.25">
      <c r="D196" s="3" t="s">
        <v>21</v>
      </c>
      <c r="E196" s="27" t="s">
        <v>434</v>
      </c>
      <c r="F196" s="3" t="s">
        <v>90</v>
      </c>
      <c r="G196" s="5">
        <v>5000</v>
      </c>
      <c r="H196" s="5">
        <v>5000</v>
      </c>
      <c r="I196" s="3" t="s">
        <v>433</v>
      </c>
      <c r="J196" s="93" t="s">
        <v>4</v>
      </c>
    </row>
    <row r="197" spans="4:10" ht="18.75" x14ac:dyDescent="0.25">
      <c r="D197" s="3" t="s">
        <v>21</v>
      </c>
      <c r="E197" s="27" t="s">
        <v>434</v>
      </c>
      <c r="F197" s="3" t="s">
        <v>158</v>
      </c>
      <c r="G197" s="5">
        <v>10000</v>
      </c>
      <c r="H197" s="5">
        <v>10000</v>
      </c>
      <c r="I197" s="3" t="s">
        <v>433</v>
      </c>
      <c r="J197" s="89" t="s">
        <v>4</v>
      </c>
    </row>
    <row r="198" spans="4:10" ht="18.75" x14ac:dyDescent="0.25">
      <c r="D198" s="3" t="s">
        <v>32</v>
      </c>
      <c r="E198" s="27" t="s">
        <v>363</v>
      </c>
      <c r="F198" s="3" t="s">
        <v>435</v>
      </c>
      <c r="G198" s="5">
        <v>10000</v>
      </c>
      <c r="H198" s="5">
        <v>10000</v>
      </c>
      <c r="I198" s="3" t="s">
        <v>433</v>
      </c>
      <c r="J198" s="89" t="s">
        <v>4</v>
      </c>
    </row>
    <row r="199" spans="4:10" ht="18.75" x14ac:dyDescent="0.25">
      <c r="D199" s="3" t="s">
        <v>21</v>
      </c>
      <c r="E199" s="27" t="s">
        <v>436</v>
      </c>
      <c r="F199" s="3" t="s">
        <v>158</v>
      </c>
      <c r="G199" s="5">
        <v>10000</v>
      </c>
      <c r="H199" s="5">
        <v>10000</v>
      </c>
      <c r="I199" s="3" t="s">
        <v>437</v>
      </c>
      <c r="J199" s="90" t="s">
        <v>4</v>
      </c>
    </row>
    <row r="200" spans="4:10" ht="18.75" x14ac:dyDescent="0.25">
      <c r="D200" s="3" t="s">
        <v>21</v>
      </c>
      <c r="E200" s="27" t="s">
        <v>438</v>
      </c>
      <c r="F200" s="3" t="s">
        <v>384</v>
      </c>
      <c r="G200" s="5">
        <v>12000</v>
      </c>
      <c r="H200" s="5">
        <v>9975</v>
      </c>
      <c r="I200" s="3" t="s">
        <v>437</v>
      </c>
      <c r="J200" s="91" t="s">
        <v>4</v>
      </c>
    </row>
    <row r="201" spans="4:10" ht="18.75" x14ac:dyDescent="0.25">
      <c r="D201" s="3" t="s">
        <v>5</v>
      </c>
      <c r="E201" s="27" t="s">
        <v>439</v>
      </c>
      <c r="F201" s="3" t="s">
        <v>90</v>
      </c>
      <c r="G201" s="5">
        <v>3000</v>
      </c>
      <c r="H201" s="5">
        <v>3000</v>
      </c>
      <c r="I201" s="3" t="s">
        <v>428</v>
      </c>
      <c r="J201" s="91" t="s">
        <v>4</v>
      </c>
    </row>
    <row r="202" spans="4:10" ht="18.75" x14ac:dyDescent="0.25">
      <c r="D202" s="3" t="s">
        <v>32</v>
      </c>
      <c r="E202" s="27" t="s">
        <v>441</v>
      </c>
      <c r="F202" s="3" t="s">
        <v>440</v>
      </c>
      <c r="G202" s="5">
        <v>15000</v>
      </c>
      <c r="H202" s="5">
        <v>15000</v>
      </c>
      <c r="I202" s="3" t="s">
        <v>437</v>
      </c>
      <c r="J202" s="91" t="s">
        <v>4</v>
      </c>
    </row>
    <row r="203" spans="4:10" ht="18.75" x14ac:dyDescent="0.25">
      <c r="D203" s="3" t="s">
        <v>21</v>
      </c>
      <c r="E203" s="27" t="s">
        <v>442</v>
      </c>
      <c r="F203" s="3" t="s">
        <v>83</v>
      </c>
      <c r="G203" s="5">
        <v>52000</v>
      </c>
      <c r="H203" s="5">
        <v>23920</v>
      </c>
      <c r="I203" s="3" t="s">
        <v>443</v>
      </c>
      <c r="J203" s="91" t="s">
        <v>4</v>
      </c>
    </row>
    <row r="204" spans="4:10" ht="18.75" x14ac:dyDescent="0.25">
      <c r="D204" s="3" t="s">
        <v>88</v>
      </c>
      <c r="E204" s="27" t="s">
        <v>444</v>
      </c>
      <c r="F204" s="3" t="s">
        <v>90</v>
      </c>
      <c r="G204" s="5">
        <v>5000</v>
      </c>
      <c r="H204" s="5">
        <v>5000</v>
      </c>
      <c r="I204" s="3" t="s">
        <v>443</v>
      </c>
      <c r="J204" s="91" t="s">
        <v>4</v>
      </c>
    </row>
    <row r="205" spans="4:10" ht="18.75" x14ac:dyDescent="0.25">
      <c r="D205" s="3" t="s">
        <v>88</v>
      </c>
      <c r="E205" s="27" t="s">
        <v>444</v>
      </c>
      <c r="F205" s="3" t="s">
        <v>445</v>
      </c>
      <c r="G205" s="5">
        <v>9200</v>
      </c>
      <c r="H205" s="5">
        <v>5336.3</v>
      </c>
      <c r="I205" s="3" t="s">
        <v>443</v>
      </c>
      <c r="J205" s="91" t="s">
        <v>4</v>
      </c>
    </row>
    <row r="206" spans="4:10" ht="18.75" x14ac:dyDescent="0.25">
      <c r="D206" s="3" t="s">
        <v>5</v>
      </c>
      <c r="E206" s="27" t="s">
        <v>439</v>
      </c>
      <c r="F206" s="3" t="s">
        <v>178</v>
      </c>
      <c r="G206" s="5">
        <v>5000</v>
      </c>
      <c r="H206" s="5">
        <v>3171.5</v>
      </c>
      <c r="I206" s="3" t="s">
        <v>443</v>
      </c>
      <c r="J206" s="91" t="s">
        <v>4</v>
      </c>
    </row>
    <row r="207" spans="4:10" ht="18.75" x14ac:dyDescent="0.25">
      <c r="D207" s="3" t="s">
        <v>5</v>
      </c>
      <c r="E207" s="27" t="s">
        <v>439</v>
      </c>
      <c r="F207" s="3" t="s">
        <v>158</v>
      </c>
      <c r="G207" s="5">
        <v>5000</v>
      </c>
      <c r="H207" s="5">
        <v>5000</v>
      </c>
      <c r="I207" s="3" t="s">
        <v>443</v>
      </c>
      <c r="J207" s="91" t="s">
        <v>4</v>
      </c>
    </row>
    <row r="208" spans="4:10" ht="18.75" x14ac:dyDescent="0.25">
      <c r="D208" s="3" t="s">
        <v>88</v>
      </c>
      <c r="E208" s="27" t="s">
        <v>133</v>
      </c>
      <c r="F208" s="3" t="s">
        <v>759</v>
      </c>
      <c r="G208" s="5">
        <v>15000</v>
      </c>
      <c r="H208" s="5">
        <v>15000</v>
      </c>
      <c r="I208" s="3" t="s">
        <v>446</v>
      </c>
      <c r="J208" s="91" t="s">
        <v>4</v>
      </c>
    </row>
    <row r="209" spans="4:10" ht="18.75" x14ac:dyDescent="0.25">
      <c r="D209" s="3" t="s">
        <v>21</v>
      </c>
      <c r="E209" s="27" t="s">
        <v>114</v>
      </c>
      <c r="F209" s="3" t="s">
        <v>447</v>
      </c>
      <c r="G209" s="5">
        <v>7000</v>
      </c>
      <c r="H209" s="5">
        <v>7000</v>
      </c>
      <c r="I209" s="3" t="s">
        <v>448</v>
      </c>
      <c r="J209" s="92" t="s">
        <v>4</v>
      </c>
    </row>
    <row r="210" spans="4:10" ht="18.75" x14ac:dyDescent="0.25">
      <c r="D210" s="3" t="s">
        <v>21</v>
      </c>
      <c r="E210" s="27" t="s">
        <v>243</v>
      </c>
      <c r="F210" s="3" t="s">
        <v>244</v>
      </c>
      <c r="G210" s="5">
        <v>25000</v>
      </c>
      <c r="H210" s="5">
        <v>25000</v>
      </c>
      <c r="I210" s="3" t="s">
        <v>448</v>
      </c>
      <c r="J210" s="92" t="s">
        <v>4</v>
      </c>
    </row>
    <row r="211" spans="4:10" ht="18.75" x14ac:dyDescent="0.25">
      <c r="D211" s="3" t="s">
        <v>21</v>
      </c>
      <c r="E211" s="27" t="s">
        <v>449</v>
      </c>
      <c r="F211" s="3" t="s">
        <v>158</v>
      </c>
      <c r="G211" s="5">
        <v>6000</v>
      </c>
      <c r="H211" s="5">
        <v>6000</v>
      </c>
      <c r="I211" s="3" t="s">
        <v>448</v>
      </c>
      <c r="J211" s="92" t="s">
        <v>4</v>
      </c>
    </row>
    <row r="212" spans="4:10" ht="18.75" x14ac:dyDescent="0.25">
      <c r="D212" s="3" t="s">
        <v>21</v>
      </c>
      <c r="E212" s="27" t="s">
        <v>449</v>
      </c>
      <c r="F212" s="3" t="s">
        <v>90</v>
      </c>
      <c r="G212" s="5">
        <v>5000</v>
      </c>
      <c r="H212" s="5">
        <v>5000</v>
      </c>
      <c r="I212" s="3" t="s">
        <v>448</v>
      </c>
      <c r="J212" s="92" t="s">
        <v>4</v>
      </c>
    </row>
    <row r="213" spans="4:10" ht="18.75" x14ac:dyDescent="0.25">
      <c r="D213" s="3" t="s">
        <v>21</v>
      </c>
      <c r="E213" s="27" t="s">
        <v>450</v>
      </c>
      <c r="F213" s="3" t="s">
        <v>452</v>
      </c>
      <c r="G213" s="5">
        <v>5000</v>
      </c>
      <c r="H213" s="5">
        <v>5000</v>
      </c>
      <c r="I213" s="3" t="s">
        <v>451</v>
      </c>
      <c r="J213" s="93" t="s">
        <v>4</v>
      </c>
    </row>
    <row r="214" spans="4:10" ht="18.75" x14ac:dyDescent="0.25">
      <c r="D214" s="3" t="s">
        <v>21</v>
      </c>
      <c r="E214" s="27" t="s">
        <v>449</v>
      </c>
      <c r="F214" s="3" t="s">
        <v>563</v>
      </c>
      <c r="G214" s="5">
        <v>6300</v>
      </c>
      <c r="H214" s="5">
        <v>2100</v>
      </c>
      <c r="I214" s="3" t="s">
        <v>564</v>
      </c>
      <c r="J214" s="93" t="s">
        <v>4</v>
      </c>
    </row>
    <row r="215" spans="4:10" ht="18.75" x14ac:dyDescent="0.25">
      <c r="D215" s="3" t="s">
        <v>32</v>
      </c>
      <c r="E215" s="27" t="s">
        <v>72</v>
      </c>
      <c r="F215" s="3" t="s">
        <v>565</v>
      </c>
      <c r="G215" s="5">
        <v>7000</v>
      </c>
      <c r="H215" s="5">
        <v>2800</v>
      </c>
      <c r="I215" s="3" t="s">
        <v>564</v>
      </c>
      <c r="J215" s="93" t="s">
        <v>4</v>
      </c>
    </row>
    <row r="216" spans="4:10" ht="18.75" x14ac:dyDescent="0.25">
      <c r="D216" s="3" t="s">
        <v>32</v>
      </c>
      <c r="E216" s="27" t="s">
        <v>566</v>
      </c>
      <c r="F216" s="3" t="s">
        <v>567</v>
      </c>
      <c r="G216" s="5">
        <v>25000</v>
      </c>
      <c r="H216" s="5">
        <v>25000</v>
      </c>
      <c r="I216" s="3" t="s">
        <v>568</v>
      </c>
      <c r="J216" s="93" t="s">
        <v>4</v>
      </c>
    </row>
    <row r="217" spans="4:10" ht="18.75" x14ac:dyDescent="0.25">
      <c r="D217" s="3" t="s">
        <v>19</v>
      </c>
      <c r="E217" s="27" t="s">
        <v>569</v>
      </c>
      <c r="F217" s="3" t="s">
        <v>570</v>
      </c>
      <c r="G217" s="5">
        <v>9800</v>
      </c>
      <c r="H217" s="5">
        <v>9800</v>
      </c>
      <c r="I217" s="3" t="s">
        <v>568</v>
      </c>
      <c r="J217" s="93" t="s">
        <v>4</v>
      </c>
    </row>
    <row r="218" spans="4:10" ht="18.75" x14ac:dyDescent="0.25">
      <c r="D218" s="3" t="s">
        <v>32</v>
      </c>
      <c r="E218" s="27" t="s">
        <v>571</v>
      </c>
      <c r="F218" s="3" t="s">
        <v>572</v>
      </c>
      <c r="G218" s="5">
        <v>10000</v>
      </c>
      <c r="H218" s="5">
        <v>2200</v>
      </c>
      <c r="I218" s="3" t="s">
        <v>568</v>
      </c>
      <c r="J218" s="93" t="s">
        <v>4</v>
      </c>
    </row>
    <row r="219" spans="4:10" ht="18.75" x14ac:dyDescent="0.25">
      <c r="D219" s="3" t="s">
        <v>32</v>
      </c>
      <c r="E219" s="27" t="s">
        <v>573</v>
      </c>
      <c r="F219" s="3" t="s">
        <v>572</v>
      </c>
      <c r="G219" s="5">
        <v>10000</v>
      </c>
      <c r="H219" s="5">
        <v>2200</v>
      </c>
      <c r="I219" s="3" t="s">
        <v>568</v>
      </c>
      <c r="J219" s="93" t="s">
        <v>4</v>
      </c>
    </row>
    <row r="220" spans="4:10" ht="18.75" x14ac:dyDescent="0.25">
      <c r="D220" s="3" t="s">
        <v>32</v>
      </c>
      <c r="E220" s="27" t="s">
        <v>574</v>
      </c>
      <c r="F220" s="3" t="s">
        <v>572</v>
      </c>
      <c r="G220" s="5">
        <v>10000</v>
      </c>
      <c r="H220" s="5">
        <v>2200</v>
      </c>
      <c r="I220" s="3" t="s">
        <v>568</v>
      </c>
      <c r="J220" s="93" t="s">
        <v>4</v>
      </c>
    </row>
    <row r="221" spans="4:10" ht="18.75" x14ac:dyDescent="0.25">
      <c r="D221" s="3" t="s">
        <v>32</v>
      </c>
      <c r="E221" s="27" t="s">
        <v>575</v>
      </c>
      <c r="F221" s="3" t="s">
        <v>572</v>
      </c>
      <c r="G221" s="5">
        <v>10000</v>
      </c>
      <c r="H221" s="5">
        <v>2200</v>
      </c>
      <c r="I221" s="3" t="s">
        <v>568</v>
      </c>
      <c r="J221" s="93" t="s">
        <v>4</v>
      </c>
    </row>
    <row r="222" spans="4:10" ht="18.75" x14ac:dyDescent="0.25">
      <c r="D222" s="3" t="s">
        <v>32</v>
      </c>
      <c r="E222" s="27" t="s">
        <v>576</v>
      </c>
      <c r="F222" s="3" t="s">
        <v>572</v>
      </c>
      <c r="G222" s="5">
        <v>10000</v>
      </c>
      <c r="H222" s="5">
        <v>2200</v>
      </c>
      <c r="I222" s="3" t="s">
        <v>568</v>
      </c>
      <c r="J222" s="93" t="s">
        <v>4</v>
      </c>
    </row>
    <row r="223" spans="4:10" ht="18.75" x14ac:dyDescent="0.25">
      <c r="D223" s="3" t="s">
        <v>32</v>
      </c>
      <c r="E223" s="27" t="s">
        <v>577</v>
      </c>
      <c r="F223" s="3" t="s">
        <v>572</v>
      </c>
      <c r="G223" s="5">
        <v>10000</v>
      </c>
      <c r="H223" s="5">
        <v>2200</v>
      </c>
      <c r="I223" s="3" t="s">
        <v>568</v>
      </c>
      <c r="J223" s="93" t="s">
        <v>4</v>
      </c>
    </row>
    <row r="224" spans="4:10" ht="18.75" x14ac:dyDescent="0.25">
      <c r="D224" s="3" t="s">
        <v>32</v>
      </c>
      <c r="E224" s="27" t="s">
        <v>578</v>
      </c>
      <c r="F224" s="3" t="s">
        <v>572</v>
      </c>
      <c r="G224" s="5">
        <v>20000</v>
      </c>
      <c r="H224" s="5">
        <v>2200</v>
      </c>
      <c r="I224" s="3" t="s">
        <v>568</v>
      </c>
      <c r="J224" s="93" t="s">
        <v>4</v>
      </c>
    </row>
    <row r="225" spans="4:10" ht="18.75" x14ac:dyDescent="0.25">
      <c r="D225" s="3" t="s">
        <v>32</v>
      </c>
      <c r="E225" s="27" t="s">
        <v>579</v>
      </c>
      <c r="F225" s="3" t="s">
        <v>572</v>
      </c>
      <c r="G225" s="5">
        <v>10000</v>
      </c>
      <c r="H225" s="5">
        <v>2200</v>
      </c>
      <c r="I225" s="3" t="s">
        <v>568</v>
      </c>
      <c r="J225" s="93" t="s">
        <v>4</v>
      </c>
    </row>
    <row r="226" spans="4:10" ht="18.75" x14ac:dyDescent="0.25">
      <c r="D226" s="3" t="s">
        <v>32</v>
      </c>
      <c r="E226" s="27" t="s">
        <v>580</v>
      </c>
      <c r="F226" s="3" t="s">
        <v>572</v>
      </c>
      <c r="G226" s="5">
        <v>10000</v>
      </c>
      <c r="H226" s="5">
        <v>2200</v>
      </c>
      <c r="I226" s="3" t="s">
        <v>568</v>
      </c>
      <c r="J226" s="93" t="s">
        <v>4</v>
      </c>
    </row>
    <row r="227" spans="4:10" ht="18.75" x14ac:dyDescent="0.25">
      <c r="D227" s="3" t="s">
        <v>32</v>
      </c>
      <c r="E227" s="27" t="s">
        <v>589</v>
      </c>
      <c r="F227" s="3" t="s">
        <v>371</v>
      </c>
      <c r="G227" s="5">
        <v>7000</v>
      </c>
      <c r="H227" s="5">
        <v>7000</v>
      </c>
      <c r="I227" s="3" t="s">
        <v>568</v>
      </c>
      <c r="J227" s="93" t="s">
        <v>4</v>
      </c>
    </row>
    <row r="228" spans="4:10" ht="18.75" x14ac:dyDescent="0.25">
      <c r="D228" s="3" t="s">
        <v>21</v>
      </c>
      <c r="E228" s="27" t="s">
        <v>597</v>
      </c>
      <c r="F228" s="3" t="s">
        <v>90</v>
      </c>
      <c r="G228" s="5">
        <v>5000</v>
      </c>
      <c r="H228" s="5">
        <v>5000</v>
      </c>
      <c r="I228" s="3" t="s">
        <v>598</v>
      </c>
      <c r="J228" s="93" t="s">
        <v>4</v>
      </c>
    </row>
    <row r="229" spans="4:10" ht="18.75" x14ac:dyDescent="0.25">
      <c r="D229" s="3" t="s">
        <v>21</v>
      </c>
      <c r="E229" s="27" t="s">
        <v>634</v>
      </c>
      <c r="F229" s="3" t="s">
        <v>158</v>
      </c>
      <c r="G229" s="5">
        <v>10000</v>
      </c>
      <c r="H229" s="5">
        <v>10000</v>
      </c>
      <c r="I229" s="3" t="s">
        <v>635</v>
      </c>
      <c r="J229" s="93" t="s">
        <v>4</v>
      </c>
    </row>
    <row r="230" spans="4:10" ht="18.75" x14ac:dyDescent="0.25">
      <c r="D230" s="3" t="s">
        <v>88</v>
      </c>
      <c r="E230" s="27" t="s">
        <v>339</v>
      </c>
      <c r="F230" s="3" t="s">
        <v>399</v>
      </c>
      <c r="G230" s="5">
        <v>70000</v>
      </c>
      <c r="H230" s="5">
        <v>70000</v>
      </c>
      <c r="I230" s="3" t="s">
        <v>636</v>
      </c>
      <c r="J230" s="93" t="s">
        <v>4</v>
      </c>
    </row>
    <row r="231" spans="4:10" ht="18.75" x14ac:dyDescent="0.25">
      <c r="D231" s="3" t="s">
        <v>32</v>
      </c>
      <c r="E231" s="27" t="s">
        <v>637</v>
      </c>
      <c r="F231" s="3" t="s">
        <v>572</v>
      </c>
      <c r="G231" s="5">
        <v>10000</v>
      </c>
      <c r="H231" s="5">
        <v>2200</v>
      </c>
      <c r="I231" s="3" t="s">
        <v>636</v>
      </c>
      <c r="J231" s="93" t="s">
        <v>4</v>
      </c>
    </row>
    <row r="232" spans="4:10" ht="18.75" x14ac:dyDescent="0.25">
      <c r="D232" s="3" t="s">
        <v>32</v>
      </c>
      <c r="E232" s="27" t="s">
        <v>638</v>
      </c>
      <c r="F232" s="3" t="s">
        <v>572</v>
      </c>
      <c r="G232" s="5">
        <v>10000</v>
      </c>
      <c r="H232" s="5">
        <v>2200</v>
      </c>
      <c r="I232" s="3" t="s">
        <v>636</v>
      </c>
      <c r="J232" s="93" t="s">
        <v>4</v>
      </c>
    </row>
    <row r="233" spans="4:10" ht="18.75" x14ac:dyDescent="0.25">
      <c r="D233" s="3" t="s">
        <v>32</v>
      </c>
      <c r="E233" s="27" t="s">
        <v>639</v>
      </c>
      <c r="F233" s="3" t="s">
        <v>572</v>
      </c>
      <c r="G233" s="5">
        <v>10000</v>
      </c>
      <c r="H233" s="5">
        <v>2200</v>
      </c>
      <c r="I233" s="3" t="s">
        <v>636</v>
      </c>
      <c r="J233" s="93" t="s">
        <v>4</v>
      </c>
    </row>
    <row r="234" spans="4:10" ht="18.75" x14ac:dyDescent="0.25">
      <c r="D234" s="3" t="s">
        <v>32</v>
      </c>
      <c r="E234" s="27" t="s">
        <v>640</v>
      </c>
      <c r="F234" s="3" t="s">
        <v>572</v>
      </c>
      <c r="G234" s="5">
        <v>10000</v>
      </c>
      <c r="H234" s="5">
        <v>2200</v>
      </c>
      <c r="I234" s="3" t="s">
        <v>636</v>
      </c>
      <c r="J234" s="93" t="s">
        <v>4</v>
      </c>
    </row>
    <row r="235" spans="4:10" ht="18.75" x14ac:dyDescent="0.25">
      <c r="D235" s="3" t="s">
        <v>19</v>
      </c>
      <c r="E235" s="27" t="s">
        <v>641</v>
      </c>
      <c r="F235" s="3" t="s">
        <v>642</v>
      </c>
      <c r="G235" s="5">
        <v>38000</v>
      </c>
      <c r="H235" s="5">
        <v>38000</v>
      </c>
      <c r="I235" s="3" t="s">
        <v>643</v>
      </c>
      <c r="J235" s="93" t="s">
        <v>4</v>
      </c>
    </row>
    <row r="236" spans="4:10" ht="18.75" x14ac:dyDescent="0.25">
      <c r="D236" s="3" t="s">
        <v>32</v>
      </c>
      <c r="E236" s="27" t="s">
        <v>72</v>
      </c>
      <c r="F236" s="3" t="s">
        <v>401</v>
      </c>
      <c r="G236" s="5">
        <v>9000</v>
      </c>
      <c r="H236" s="5">
        <v>9000</v>
      </c>
      <c r="I236" s="3" t="s">
        <v>644</v>
      </c>
      <c r="J236" s="93" t="s">
        <v>4</v>
      </c>
    </row>
    <row r="237" spans="4:10" ht="18.75" x14ac:dyDescent="0.25">
      <c r="D237" s="3" t="s">
        <v>32</v>
      </c>
      <c r="E237" s="27" t="s">
        <v>72</v>
      </c>
      <c r="F237" s="3" t="s">
        <v>402</v>
      </c>
      <c r="G237" s="5">
        <v>9000</v>
      </c>
      <c r="H237" s="5">
        <v>9000</v>
      </c>
      <c r="I237" s="3" t="s">
        <v>644</v>
      </c>
      <c r="J237" s="93" t="s">
        <v>4</v>
      </c>
    </row>
    <row r="238" spans="4:10" ht="18.75" x14ac:dyDescent="0.25">
      <c r="D238" s="3" t="s">
        <v>32</v>
      </c>
      <c r="E238" s="27" t="s">
        <v>72</v>
      </c>
      <c r="F238" s="3" t="s">
        <v>403</v>
      </c>
      <c r="G238" s="5">
        <v>9000</v>
      </c>
      <c r="H238" s="5">
        <v>9000</v>
      </c>
      <c r="I238" s="3" t="s">
        <v>644</v>
      </c>
      <c r="J238" s="93" t="s">
        <v>4</v>
      </c>
    </row>
    <row r="239" spans="4:10" ht="18.75" x14ac:dyDescent="0.25">
      <c r="D239" s="3" t="s">
        <v>88</v>
      </c>
      <c r="E239" s="27" t="s">
        <v>99</v>
      </c>
      <c r="F239" s="3" t="s">
        <v>699</v>
      </c>
      <c r="G239" s="5">
        <v>12000</v>
      </c>
      <c r="H239" s="5">
        <v>12000</v>
      </c>
      <c r="I239" s="3" t="s">
        <v>700</v>
      </c>
      <c r="J239" s="93" t="s">
        <v>4</v>
      </c>
    </row>
    <row r="240" spans="4:10" ht="18.75" x14ac:dyDescent="0.25">
      <c r="D240" s="3" t="s">
        <v>88</v>
      </c>
      <c r="E240" s="27" t="s">
        <v>99</v>
      </c>
      <c r="F240" s="3" t="s">
        <v>701</v>
      </c>
      <c r="G240" s="5">
        <v>5000</v>
      </c>
      <c r="H240" s="5">
        <v>5000</v>
      </c>
      <c r="I240" s="3" t="s">
        <v>700</v>
      </c>
      <c r="J240" s="93" t="s">
        <v>4</v>
      </c>
    </row>
    <row r="241" spans="4:10" ht="18.75" x14ac:dyDescent="0.25">
      <c r="D241" s="3" t="s">
        <v>32</v>
      </c>
      <c r="E241" s="27" t="s">
        <v>702</v>
      </c>
      <c r="F241" s="3" t="s">
        <v>90</v>
      </c>
      <c r="G241" s="5">
        <v>3000</v>
      </c>
      <c r="H241" s="5">
        <v>3000</v>
      </c>
      <c r="I241" s="3" t="s">
        <v>700</v>
      </c>
      <c r="J241" s="93" t="s">
        <v>4</v>
      </c>
    </row>
    <row r="242" spans="4:10" ht="18.75" x14ac:dyDescent="0.25">
      <c r="D242" s="3" t="s">
        <v>21</v>
      </c>
      <c r="E242" s="27" t="s">
        <v>703</v>
      </c>
      <c r="F242" s="3" t="s">
        <v>384</v>
      </c>
      <c r="G242" s="5">
        <v>15000</v>
      </c>
      <c r="H242" s="5">
        <v>9769</v>
      </c>
      <c r="I242" s="3" t="s">
        <v>704</v>
      </c>
      <c r="J242" s="93" t="s">
        <v>4</v>
      </c>
    </row>
    <row r="243" spans="4:10" ht="18.75" x14ac:dyDescent="0.25">
      <c r="D243" s="3" t="s">
        <v>21</v>
      </c>
      <c r="E243" s="27" t="s">
        <v>311</v>
      </c>
      <c r="F243" s="3" t="s">
        <v>136</v>
      </c>
      <c r="G243" s="5">
        <v>15000</v>
      </c>
      <c r="H243" s="5">
        <v>15000</v>
      </c>
      <c r="I243" s="3" t="s">
        <v>704</v>
      </c>
      <c r="J243" s="93" t="s">
        <v>4</v>
      </c>
    </row>
    <row r="244" spans="4:10" ht="18.75" x14ac:dyDescent="0.3">
      <c r="D244" s="143" t="s">
        <v>67</v>
      </c>
      <c r="E244" s="143"/>
      <c r="F244" s="143"/>
      <c r="G244" s="7">
        <f>SUM(G188:G243)</f>
        <v>846300</v>
      </c>
      <c r="H244" s="7">
        <f>SUM(H188:H243)</f>
        <v>640646.80000000005</v>
      </c>
      <c r="I244" s="144" t="s">
        <v>705</v>
      </c>
      <c r="J244" s="144"/>
    </row>
    <row r="245" spans="4:10" ht="18.75" x14ac:dyDescent="0.25">
      <c r="D245" s="3" t="s">
        <v>21</v>
      </c>
      <c r="E245" s="27" t="s">
        <v>706</v>
      </c>
      <c r="F245" s="3" t="s">
        <v>83</v>
      </c>
      <c r="G245" s="5">
        <v>50000</v>
      </c>
      <c r="H245" s="5">
        <v>15656</v>
      </c>
      <c r="I245" s="3" t="s">
        <v>707</v>
      </c>
      <c r="J245" s="93" t="s">
        <v>708</v>
      </c>
    </row>
    <row r="246" spans="4:10" ht="18.75" x14ac:dyDescent="0.25">
      <c r="D246" s="3" t="s">
        <v>88</v>
      </c>
      <c r="E246" s="27" t="s">
        <v>589</v>
      </c>
      <c r="F246" s="3" t="s">
        <v>709</v>
      </c>
      <c r="G246" s="5">
        <v>5000</v>
      </c>
      <c r="H246" s="5">
        <v>5000</v>
      </c>
      <c r="I246" s="3" t="s">
        <v>707</v>
      </c>
      <c r="J246" s="93" t="s">
        <v>708</v>
      </c>
    </row>
    <row r="247" spans="4:10" ht="18.75" x14ac:dyDescent="0.25">
      <c r="D247" s="3" t="s">
        <v>21</v>
      </c>
      <c r="E247" s="27" t="s">
        <v>170</v>
      </c>
      <c r="F247" s="3" t="s">
        <v>158</v>
      </c>
      <c r="G247" s="5">
        <v>25000</v>
      </c>
      <c r="H247" s="5">
        <v>25000</v>
      </c>
      <c r="I247" s="3" t="s">
        <v>710</v>
      </c>
      <c r="J247" s="93" t="s">
        <v>708</v>
      </c>
    </row>
    <row r="248" spans="4:10" ht="18.75" x14ac:dyDescent="0.25">
      <c r="D248" s="3" t="s">
        <v>21</v>
      </c>
      <c r="E248" s="27" t="s">
        <v>711</v>
      </c>
      <c r="F248" s="3" t="s">
        <v>712</v>
      </c>
      <c r="G248" s="5">
        <v>5000</v>
      </c>
      <c r="H248" s="5">
        <v>5000</v>
      </c>
      <c r="I248" s="3" t="s">
        <v>710</v>
      </c>
      <c r="J248" s="93" t="s">
        <v>708</v>
      </c>
    </row>
    <row r="249" spans="4:10" ht="18.75" x14ac:dyDescent="0.25">
      <c r="D249" s="3" t="s">
        <v>21</v>
      </c>
      <c r="E249" s="27" t="s">
        <v>716</v>
      </c>
      <c r="F249" s="3" t="s">
        <v>83</v>
      </c>
      <c r="G249" s="5">
        <v>50000</v>
      </c>
      <c r="H249" s="5">
        <v>15656</v>
      </c>
      <c r="I249" s="3" t="s">
        <v>710</v>
      </c>
      <c r="J249" s="93" t="s">
        <v>708</v>
      </c>
    </row>
    <row r="250" spans="4:10" ht="18.75" x14ac:dyDescent="0.25">
      <c r="D250" s="3" t="s">
        <v>21</v>
      </c>
      <c r="E250" s="27" t="s">
        <v>722</v>
      </c>
      <c r="F250" s="3" t="s">
        <v>384</v>
      </c>
      <c r="G250" s="5">
        <v>30000</v>
      </c>
      <c r="H250" s="5">
        <v>5000</v>
      </c>
      <c r="I250" s="3" t="s">
        <v>710</v>
      </c>
      <c r="J250" s="93" t="s">
        <v>708</v>
      </c>
    </row>
    <row r="251" spans="4:10" ht="18.75" x14ac:dyDescent="0.25">
      <c r="D251" s="3" t="s">
        <v>5</v>
      </c>
      <c r="E251" s="27" t="s">
        <v>723</v>
      </c>
      <c r="F251" s="3" t="s">
        <v>158</v>
      </c>
      <c r="G251" s="5">
        <v>12000</v>
      </c>
      <c r="H251" s="5">
        <v>12000</v>
      </c>
      <c r="I251" s="3" t="s">
        <v>710</v>
      </c>
      <c r="J251" s="93" t="s">
        <v>708</v>
      </c>
    </row>
    <row r="252" spans="4:10" ht="18.75" x14ac:dyDescent="0.25">
      <c r="D252" s="3" t="s">
        <v>32</v>
      </c>
      <c r="E252" s="27" t="s">
        <v>815</v>
      </c>
      <c r="F252" s="3" t="s">
        <v>817</v>
      </c>
      <c r="G252" s="5">
        <v>9000</v>
      </c>
      <c r="H252" s="5">
        <v>9000</v>
      </c>
      <c r="I252" s="3" t="s">
        <v>710</v>
      </c>
      <c r="J252" s="93" t="s">
        <v>708</v>
      </c>
    </row>
    <row r="253" spans="4:10" ht="18.75" x14ac:dyDescent="0.25">
      <c r="D253" s="3" t="s">
        <v>32</v>
      </c>
      <c r="E253" s="27" t="s">
        <v>816</v>
      </c>
      <c r="F253" s="3" t="s">
        <v>817</v>
      </c>
      <c r="G253" s="5">
        <v>9000</v>
      </c>
      <c r="H253" s="5">
        <v>9000</v>
      </c>
      <c r="I253" s="3" t="s">
        <v>710</v>
      </c>
      <c r="J253" s="93" t="s">
        <v>708</v>
      </c>
    </row>
    <row r="254" spans="4:10" ht="18.75" x14ac:dyDescent="0.25">
      <c r="D254" s="3" t="s">
        <v>32</v>
      </c>
      <c r="E254" s="27" t="s">
        <v>724</v>
      </c>
      <c r="F254" s="3" t="s">
        <v>726</v>
      </c>
      <c r="G254" s="5">
        <v>15000</v>
      </c>
      <c r="H254" s="5">
        <v>15000</v>
      </c>
      <c r="I254" s="3" t="s">
        <v>725</v>
      </c>
      <c r="J254" s="93" t="s">
        <v>708</v>
      </c>
    </row>
    <row r="255" spans="4:10" ht="18.75" x14ac:dyDescent="0.25">
      <c r="D255" s="3" t="s">
        <v>32</v>
      </c>
      <c r="E255" s="27" t="s">
        <v>724</v>
      </c>
      <c r="F255" s="3" t="s">
        <v>80</v>
      </c>
      <c r="G255" s="5">
        <v>20000</v>
      </c>
      <c r="H255" s="5">
        <v>16606.22</v>
      </c>
      <c r="I255" s="3" t="s">
        <v>725</v>
      </c>
      <c r="J255" s="93" t="s">
        <v>708</v>
      </c>
    </row>
    <row r="256" spans="4:10" ht="18.75" x14ac:dyDescent="0.25">
      <c r="D256" s="3" t="s">
        <v>19</v>
      </c>
      <c r="E256" s="27" t="s">
        <v>609</v>
      </c>
      <c r="F256" s="3" t="s">
        <v>392</v>
      </c>
      <c r="G256" s="5">
        <v>30000</v>
      </c>
      <c r="H256" s="5">
        <v>30000</v>
      </c>
      <c r="I256" s="3" t="s">
        <v>727</v>
      </c>
      <c r="J256" s="93" t="s">
        <v>708</v>
      </c>
    </row>
    <row r="257" spans="4:10" ht="18.75" x14ac:dyDescent="0.25">
      <c r="D257" s="3" t="s">
        <v>21</v>
      </c>
      <c r="E257" s="27" t="s">
        <v>427</v>
      </c>
      <c r="F257" s="3" t="s">
        <v>728</v>
      </c>
      <c r="G257" s="5">
        <v>30000</v>
      </c>
      <c r="H257" s="5">
        <v>30000</v>
      </c>
      <c r="I257" s="3" t="s">
        <v>729</v>
      </c>
      <c r="J257" s="93" t="s">
        <v>708</v>
      </c>
    </row>
    <row r="258" spans="4:10" ht="18.75" x14ac:dyDescent="0.25">
      <c r="D258" s="3" t="s">
        <v>88</v>
      </c>
      <c r="E258" s="27" t="s">
        <v>730</v>
      </c>
      <c r="F258" s="3" t="s">
        <v>90</v>
      </c>
      <c r="G258" s="5">
        <v>5000</v>
      </c>
      <c r="H258" s="5">
        <v>5000</v>
      </c>
      <c r="I258" s="3" t="s">
        <v>731</v>
      </c>
      <c r="J258" s="93" t="s">
        <v>708</v>
      </c>
    </row>
    <row r="259" spans="4:10" ht="18.75" x14ac:dyDescent="0.25">
      <c r="D259" s="3" t="s">
        <v>88</v>
      </c>
      <c r="E259" s="27" t="s">
        <v>730</v>
      </c>
      <c r="F259" s="3" t="s">
        <v>750</v>
      </c>
      <c r="G259" s="5">
        <v>35000</v>
      </c>
      <c r="H259" s="5">
        <v>16556</v>
      </c>
      <c r="I259" s="3" t="s">
        <v>751</v>
      </c>
      <c r="J259" s="93" t="s">
        <v>708</v>
      </c>
    </row>
    <row r="260" spans="4:10" ht="18.75" x14ac:dyDescent="0.25">
      <c r="D260" s="3" t="s">
        <v>5</v>
      </c>
      <c r="E260" s="27" t="s">
        <v>436</v>
      </c>
      <c r="F260" s="3" t="s">
        <v>752</v>
      </c>
      <c r="G260" s="5">
        <v>10000</v>
      </c>
      <c r="H260" s="5">
        <v>10000</v>
      </c>
      <c r="I260" s="3" t="s">
        <v>753</v>
      </c>
      <c r="J260" s="93" t="s">
        <v>708</v>
      </c>
    </row>
    <row r="261" spans="4:10" ht="18.75" x14ac:dyDescent="0.25">
      <c r="D261" s="3" t="s">
        <v>5</v>
      </c>
      <c r="E261" s="27" t="s">
        <v>114</v>
      </c>
      <c r="F261" s="3" t="s">
        <v>752</v>
      </c>
      <c r="G261" s="5">
        <v>7000</v>
      </c>
      <c r="H261" s="5">
        <v>7000</v>
      </c>
      <c r="I261" s="3" t="s">
        <v>753</v>
      </c>
      <c r="J261" s="93" t="s">
        <v>708</v>
      </c>
    </row>
    <row r="262" spans="4:10" ht="18.75" x14ac:dyDescent="0.25">
      <c r="D262" s="3" t="s">
        <v>88</v>
      </c>
      <c r="E262" s="27" t="s">
        <v>133</v>
      </c>
      <c r="F262" s="3" t="s">
        <v>765</v>
      </c>
      <c r="G262" s="5">
        <v>15000</v>
      </c>
      <c r="H262" s="5">
        <v>15000</v>
      </c>
      <c r="I262" s="3" t="s">
        <v>766</v>
      </c>
      <c r="J262" s="93" t="s">
        <v>708</v>
      </c>
    </row>
    <row r="263" spans="4:10" ht="18.75" x14ac:dyDescent="0.25">
      <c r="D263" s="3" t="s">
        <v>19</v>
      </c>
      <c r="E263" s="27" t="s">
        <v>768</v>
      </c>
      <c r="F263" s="3" t="s">
        <v>90</v>
      </c>
      <c r="G263" s="5">
        <v>7000</v>
      </c>
      <c r="H263" s="5">
        <v>7000</v>
      </c>
      <c r="I263" s="3" t="s">
        <v>769</v>
      </c>
      <c r="J263" s="93" t="s">
        <v>708</v>
      </c>
    </row>
    <row r="264" spans="4:10" ht="18.75" x14ac:dyDescent="0.25">
      <c r="D264" s="3" t="s">
        <v>19</v>
      </c>
      <c r="E264" s="27" t="s">
        <v>768</v>
      </c>
      <c r="F264" s="3" t="s">
        <v>280</v>
      </c>
      <c r="G264" s="5">
        <v>16000</v>
      </c>
      <c r="H264" s="5">
        <v>11100</v>
      </c>
      <c r="I264" s="3" t="s">
        <v>769</v>
      </c>
      <c r="J264" s="93" t="s">
        <v>708</v>
      </c>
    </row>
    <row r="265" spans="4:10" ht="18.75" x14ac:dyDescent="0.25">
      <c r="D265" s="3" t="s">
        <v>32</v>
      </c>
      <c r="E265" s="27" t="s">
        <v>770</v>
      </c>
      <c r="F265" s="3" t="s">
        <v>752</v>
      </c>
      <c r="G265" s="5">
        <v>25000</v>
      </c>
      <c r="H265" s="5">
        <v>25000</v>
      </c>
      <c r="I265" s="3" t="s">
        <v>771</v>
      </c>
      <c r="J265" s="93" t="s">
        <v>708</v>
      </c>
    </row>
    <row r="266" spans="4:10" ht="18.75" x14ac:dyDescent="0.25">
      <c r="D266" s="3" t="s">
        <v>19</v>
      </c>
      <c r="E266" s="27" t="s">
        <v>772</v>
      </c>
      <c r="F266" s="3" t="s">
        <v>280</v>
      </c>
      <c r="G266" s="5">
        <v>14500</v>
      </c>
      <c r="H266" s="5">
        <v>7380</v>
      </c>
      <c r="I266" s="3" t="s">
        <v>773</v>
      </c>
      <c r="J266" s="93" t="s">
        <v>708</v>
      </c>
    </row>
    <row r="267" spans="4:10" ht="18.75" x14ac:dyDescent="0.25">
      <c r="D267" s="3" t="s">
        <v>19</v>
      </c>
      <c r="E267" s="27" t="s">
        <v>772</v>
      </c>
      <c r="F267" s="3" t="s">
        <v>90</v>
      </c>
      <c r="G267" s="5">
        <v>2000</v>
      </c>
      <c r="H267" s="5">
        <v>2000</v>
      </c>
      <c r="I267" s="3" t="s">
        <v>773</v>
      </c>
      <c r="J267" s="93" t="s">
        <v>708</v>
      </c>
    </row>
    <row r="268" spans="4:10" ht="18.75" x14ac:dyDescent="0.25">
      <c r="D268" s="3" t="s">
        <v>88</v>
      </c>
      <c r="E268" s="27" t="s">
        <v>774</v>
      </c>
      <c r="F268" s="3" t="s">
        <v>775</v>
      </c>
      <c r="G268" s="5">
        <v>10000</v>
      </c>
      <c r="H268" s="5">
        <v>10000</v>
      </c>
      <c r="I268" s="3" t="s">
        <v>776</v>
      </c>
      <c r="J268" s="93" t="s">
        <v>708</v>
      </c>
    </row>
    <row r="269" spans="4:10" ht="18.75" x14ac:dyDescent="0.25">
      <c r="D269" s="3" t="s">
        <v>19</v>
      </c>
      <c r="E269" s="27" t="s">
        <v>777</v>
      </c>
      <c r="F269" s="3" t="s">
        <v>280</v>
      </c>
      <c r="G269" s="5">
        <v>15000</v>
      </c>
      <c r="H269" s="5">
        <v>9960</v>
      </c>
      <c r="I269" s="3" t="s">
        <v>776</v>
      </c>
      <c r="J269" s="93" t="s">
        <v>708</v>
      </c>
    </row>
    <row r="270" spans="4:10" ht="18.75" x14ac:dyDescent="0.25">
      <c r="D270" s="3" t="s">
        <v>32</v>
      </c>
      <c r="E270" s="27" t="s">
        <v>778</v>
      </c>
      <c r="F270" s="3" t="s">
        <v>779</v>
      </c>
      <c r="G270" s="5">
        <v>35000</v>
      </c>
      <c r="H270" s="5">
        <v>35000</v>
      </c>
      <c r="I270" s="3" t="s">
        <v>780</v>
      </c>
      <c r="J270" s="93" t="s">
        <v>708</v>
      </c>
    </row>
    <row r="271" spans="4:10" ht="18.75" x14ac:dyDescent="0.25">
      <c r="D271" s="3" t="s">
        <v>88</v>
      </c>
      <c r="E271" s="27" t="s">
        <v>781</v>
      </c>
      <c r="F271" s="3" t="s">
        <v>782</v>
      </c>
      <c r="G271" s="5">
        <v>44900</v>
      </c>
      <c r="H271" s="5">
        <v>8155</v>
      </c>
      <c r="I271" s="3" t="s">
        <v>780</v>
      </c>
      <c r="J271" s="93" t="s">
        <v>708</v>
      </c>
    </row>
    <row r="272" spans="4:10" ht="18.75" x14ac:dyDescent="0.25">
      <c r="D272" s="3" t="s">
        <v>19</v>
      </c>
      <c r="E272" s="27" t="s">
        <v>783</v>
      </c>
      <c r="F272" s="3" t="s">
        <v>784</v>
      </c>
      <c r="G272" s="5">
        <v>68000</v>
      </c>
      <c r="H272" s="5">
        <v>22686</v>
      </c>
      <c r="I272" s="3" t="s">
        <v>785</v>
      </c>
      <c r="J272" s="93" t="s">
        <v>708</v>
      </c>
    </row>
    <row r="273" spans="4:10" ht="18.75" x14ac:dyDescent="0.25">
      <c r="D273" s="3" t="s">
        <v>19</v>
      </c>
      <c r="E273" s="27" t="s">
        <v>783</v>
      </c>
      <c r="F273" s="3" t="s">
        <v>90</v>
      </c>
      <c r="G273" s="5">
        <v>30000</v>
      </c>
      <c r="H273" s="5">
        <v>30000</v>
      </c>
      <c r="I273" s="3" t="s">
        <v>785</v>
      </c>
      <c r="J273" s="93" t="s">
        <v>708</v>
      </c>
    </row>
    <row r="274" spans="4:10" ht="18.75" x14ac:dyDescent="0.25">
      <c r="D274" s="3" t="s">
        <v>5</v>
      </c>
      <c r="E274" s="27" t="s">
        <v>786</v>
      </c>
      <c r="F274" s="3" t="s">
        <v>90</v>
      </c>
      <c r="G274" s="5">
        <v>25000</v>
      </c>
      <c r="H274" s="5">
        <v>25000</v>
      </c>
      <c r="I274" s="3" t="s">
        <v>785</v>
      </c>
      <c r="J274" s="93" t="s">
        <v>708</v>
      </c>
    </row>
    <row r="275" spans="4:10" ht="18.75" x14ac:dyDescent="0.25">
      <c r="D275" s="3" t="s">
        <v>19</v>
      </c>
      <c r="E275" s="27" t="s">
        <v>787</v>
      </c>
      <c r="F275" s="3" t="s">
        <v>825</v>
      </c>
      <c r="G275" s="5">
        <v>14500</v>
      </c>
      <c r="H275" s="5">
        <v>11080</v>
      </c>
      <c r="I275" s="3" t="s">
        <v>788</v>
      </c>
      <c r="J275" s="93" t="s">
        <v>708</v>
      </c>
    </row>
    <row r="276" spans="4:10" ht="18.75" x14ac:dyDescent="0.25">
      <c r="D276" s="3" t="s">
        <v>32</v>
      </c>
      <c r="E276" s="27" t="s">
        <v>789</v>
      </c>
      <c r="F276" s="3" t="s">
        <v>790</v>
      </c>
      <c r="G276" s="5">
        <v>10000</v>
      </c>
      <c r="H276" s="5">
        <v>10000</v>
      </c>
      <c r="I276" s="3" t="s">
        <v>780</v>
      </c>
      <c r="J276" s="93" t="s">
        <v>708</v>
      </c>
    </row>
    <row r="277" spans="4:10" ht="18.75" x14ac:dyDescent="0.25">
      <c r="D277" s="3" t="s">
        <v>32</v>
      </c>
      <c r="E277" s="27" t="s">
        <v>791</v>
      </c>
      <c r="F277" s="3" t="s">
        <v>136</v>
      </c>
      <c r="G277" s="5">
        <v>15000</v>
      </c>
      <c r="H277" s="5">
        <v>15000</v>
      </c>
      <c r="I277" s="3" t="s">
        <v>792</v>
      </c>
      <c r="J277" s="93" t="s">
        <v>708</v>
      </c>
    </row>
    <row r="278" spans="4:10" ht="18.75" x14ac:dyDescent="0.25">
      <c r="D278" s="3" t="s">
        <v>88</v>
      </c>
      <c r="E278" s="27" t="s">
        <v>781</v>
      </c>
      <c r="F278" s="3" t="s">
        <v>793</v>
      </c>
      <c r="G278" s="5">
        <v>4500</v>
      </c>
      <c r="H278" s="5">
        <v>2900</v>
      </c>
      <c r="I278" s="3" t="s">
        <v>794</v>
      </c>
      <c r="J278" s="93" t="s">
        <v>708</v>
      </c>
    </row>
    <row r="279" spans="4:10" ht="18.75" x14ac:dyDescent="0.3">
      <c r="D279" s="143" t="s">
        <v>67</v>
      </c>
      <c r="E279" s="143"/>
      <c r="F279" s="143"/>
      <c r="G279" s="7">
        <f>SUM(G245:G278)</f>
        <v>698400</v>
      </c>
      <c r="H279" s="7">
        <f>SUM(H245:H278)</f>
        <v>478735.22</v>
      </c>
      <c r="I279" s="144" t="s">
        <v>795</v>
      </c>
      <c r="J279" s="144"/>
    </row>
    <row r="280" spans="4:10" ht="18.75" x14ac:dyDescent="0.25">
      <c r="D280" s="3" t="s">
        <v>19</v>
      </c>
      <c r="E280" s="27" t="s">
        <v>798</v>
      </c>
      <c r="F280" s="3" t="s">
        <v>90</v>
      </c>
      <c r="G280" s="5">
        <v>10000</v>
      </c>
      <c r="H280" s="5">
        <v>10000</v>
      </c>
      <c r="I280" s="3" t="s">
        <v>799</v>
      </c>
      <c r="J280" s="93" t="s">
        <v>800</v>
      </c>
    </row>
    <row r="281" spans="4:10" ht="18.75" x14ac:dyDescent="0.25">
      <c r="D281" s="3" t="s">
        <v>32</v>
      </c>
      <c r="E281" s="27" t="s">
        <v>801</v>
      </c>
      <c r="F281" s="3" t="s">
        <v>802</v>
      </c>
      <c r="G281" s="5">
        <v>28000</v>
      </c>
      <c r="H281" s="5">
        <v>14440</v>
      </c>
      <c r="I281" s="3" t="s">
        <v>799</v>
      </c>
      <c r="J281" s="93" t="s">
        <v>800</v>
      </c>
    </row>
    <row r="282" spans="4:10" ht="18.75" x14ac:dyDescent="0.25">
      <c r="D282" s="3" t="s">
        <v>5</v>
      </c>
      <c r="E282" s="27" t="s">
        <v>803</v>
      </c>
      <c r="F282" s="3" t="s">
        <v>90</v>
      </c>
      <c r="G282" s="5">
        <v>10000</v>
      </c>
      <c r="H282" s="5">
        <v>10000</v>
      </c>
      <c r="I282" s="3" t="s">
        <v>799</v>
      </c>
      <c r="J282" s="93" t="s">
        <v>800</v>
      </c>
    </row>
    <row r="283" spans="4:10" ht="18.75" x14ac:dyDescent="0.25">
      <c r="D283" s="3" t="s">
        <v>88</v>
      </c>
      <c r="E283" s="27" t="s">
        <v>804</v>
      </c>
      <c r="F283" s="3" t="s">
        <v>805</v>
      </c>
      <c r="G283" s="5">
        <v>121800</v>
      </c>
      <c r="H283" s="5">
        <v>29092.400000000001</v>
      </c>
      <c r="I283" s="3" t="s">
        <v>806</v>
      </c>
      <c r="J283" s="93" t="s">
        <v>800</v>
      </c>
    </row>
    <row r="284" spans="4:10" ht="18.75" x14ac:dyDescent="0.25">
      <c r="D284" s="3" t="s">
        <v>19</v>
      </c>
      <c r="E284" s="27" t="s">
        <v>92</v>
      </c>
      <c r="F284" s="3" t="s">
        <v>807</v>
      </c>
      <c r="G284" s="5">
        <v>45000</v>
      </c>
      <c r="H284" s="5">
        <v>45000</v>
      </c>
      <c r="I284" s="3" t="s">
        <v>806</v>
      </c>
      <c r="J284" s="93" t="s">
        <v>800</v>
      </c>
    </row>
    <row r="285" spans="4:10" ht="18.75" x14ac:dyDescent="0.25">
      <c r="D285" s="3" t="s">
        <v>88</v>
      </c>
      <c r="E285" s="27" t="s">
        <v>339</v>
      </c>
      <c r="F285" s="3" t="s">
        <v>775</v>
      </c>
      <c r="G285" s="5">
        <v>70000</v>
      </c>
      <c r="H285" s="5">
        <v>70000</v>
      </c>
      <c r="I285" s="3" t="s">
        <v>806</v>
      </c>
      <c r="J285" s="93" t="s">
        <v>800</v>
      </c>
    </row>
    <row r="286" spans="4:10" ht="18.75" x14ac:dyDescent="0.25">
      <c r="D286" s="3" t="s">
        <v>32</v>
      </c>
      <c r="E286" s="27" t="s">
        <v>97</v>
      </c>
      <c r="F286" s="3" t="s">
        <v>158</v>
      </c>
      <c r="G286" s="5">
        <v>25000</v>
      </c>
      <c r="H286" s="5">
        <v>25000</v>
      </c>
      <c r="I286" s="3" t="s">
        <v>808</v>
      </c>
      <c r="J286" s="93" t="s">
        <v>800</v>
      </c>
    </row>
    <row r="287" spans="4:10" ht="18.75" x14ac:dyDescent="0.25">
      <c r="D287" s="3" t="s">
        <v>32</v>
      </c>
      <c r="E287" s="27" t="s">
        <v>809</v>
      </c>
      <c r="F287" s="3" t="s">
        <v>790</v>
      </c>
      <c r="G287" s="5">
        <v>60000</v>
      </c>
      <c r="H287" s="5">
        <v>60000</v>
      </c>
      <c r="I287" s="3" t="s">
        <v>808</v>
      </c>
      <c r="J287" s="93" t="s">
        <v>800</v>
      </c>
    </row>
    <row r="288" spans="4:10" ht="18.75" x14ac:dyDescent="0.25">
      <c r="D288" s="3" t="s">
        <v>19</v>
      </c>
      <c r="E288" s="27" t="s">
        <v>783</v>
      </c>
      <c r="F288" s="3" t="s">
        <v>810</v>
      </c>
      <c r="G288" s="5">
        <v>35000</v>
      </c>
      <c r="H288" s="5">
        <v>22686</v>
      </c>
      <c r="I288" s="3" t="s">
        <v>811</v>
      </c>
      <c r="J288" s="93" t="s">
        <v>800</v>
      </c>
    </row>
    <row r="289" spans="4:10" ht="18.75" x14ac:dyDescent="0.25">
      <c r="D289" s="3" t="s">
        <v>19</v>
      </c>
      <c r="E289" s="27" t="s">
        <v>812</v>
      </c>
      <c r="F289" s="3" t="s">
        <v>821</v>
      </c>
      <c r="G289" s="5">
        <v>10000</v>
      </c>
      <c r="H289" s="5">
        <v>7680</v>
      </c>
      <c r="I289" s="3" t="s">
        <v>811</v>
      </c>
      <c r="J289" s="93" t="s">
        <v>800</v>
      </c>
    </row>
    <row r="290" spans="4:10" ht="18.75" x14ac:dyDescent="0.25">
      <c r="D290" s="3" t="s">
        <v>19</v>
      </c>
      <c r="E290" s="27" t="s">
        <v>812</v>
      </c>
      <c r="F290" s="3" t="s">
        <v>90</v>
      </c>
      <c r="G290" s="5">
        <v>10000</v>
      </c>
      <c r="H290" s="5">
        <v>10000</v>
      </c>
      <c r="I290" s="3" t="s">
        <v>811</v>
      </c>
      <c r="J290" s="93" t="s">
        <v>800</v>
      </c>
    </row>
    <row r="291" spans="4:10" ht="18.75" x14ac:dyDescent="0.25">
      <c r="D291" s="3" t="s">
        <v>19</v>
      </c>
      <c r="E291" s="27" t="s">
        <v>813</v>
      </c>
      <c r="F291" s="3" t="s">
        <v>90</v>
      </c>
      <c r="G291" s="5">
        <v>5000</v>
      </c>
      <c r="H291" s="5">
        <v>5000</v>
      </c>
      <c r="I291" s="3" t="s">
        <v>811</v>
      </c>
      <c r="J291" s="93" t="s">
        <v>800</v>
      </c>
    </row>
    <row r="292" spans="4:10" ht="18.75" x14ac:dyDescent="0.25">
      <c r="D292" s="3" t="s">
        <v>19</v>
      </c>
      <c r="E292" s="27" t="s">
        <v>813</v>
      </c>
      <c r="F292" s="3" t="s">
        <v>819</v>
      </c>
      <c r="G292" s="5">
        <v>7500</v>
      </c>
      <c r="H292" s="5">
        <v>5430</v>
      </c>
      <c r="I292" s="3" t="s">
        <v>811</v>
      </c>
      <c r="J292" s="93" t="s">
        <v>800</v>
      </c>
    </row>
    <row r="293" spans="4:10" ht="18.75" x14ac:dyDescent="0.25">
      <c r="D293" s="3" t="s">
        <v>19</v>
      </c>
      <c r="E293" s="27" t="s">
        <v>854</v>
      </c>
      <c r="F293" s="3" t="s">
        <v>904</v>
      </c>
      <c r="G293" s="5">
        <v>77500</v>
      </c>
      <c r="H293" s="5">
        <v>37500</v>
      </c>
      <c r="I293" s="3" t="s">
        <v>811</v>
      </c>
      <c r="J293" s="93" t="s">
        <v>800</v>
      </c>
    </row>
    <row r="294" spans="4:10" ht="18.75" x14ac:dyDescent="0.25">
      <c r="D294" s="3" t="s">
        <v>32</v>
      </c>
      <c r="E294" s="27" t="s">
        <v>814</v>
      </c>
      <c r="F294" s="3" t="s">
        <v>827</v>
      </c>
      <c r="G294" s="5">
        <v>20000</v>
      </c>
      <c r="H294" s="5">
        <v>12792</v>
      </c>
      <c r="I294" s="3" t="s">
        <v>808</v>
      </c>
      <c r="J294" s="93" t="s">
        <v>800</v>
      </c>
    </row>
    <row r="295" spans="4:10" ht="18.75" x14ac:dyDescent="0.25">
      <c r="D295" s="3" t="s">
        <v>19</v>
      </c>
      <c r="E295" s="27" t="s">
        <v>812</v>
      </c>
      <c r="F295" s="3" t="s">
        <v>820</v>
      </c>
      <c r="G295" s="5">
        <v>25000</v>
      </c>
      <c r="H295" s="5">
        <v>14320</v>
      </c>
      <c r="I295" s="3" t="s">
        <v>818</v>
      </c>
      <c r="J295" s="93" t="s">
        <v>800</v>
      </c>
    </row>
    <row r="296" spans="4:10" ht="18.75" x14ac:dyDescent="0.25">
      <c r="D296" s="3" t="s">
        <v>32</v>
      </c>
      <c r="E296" s="27" t="s">
        <v>822</v>
      </c>
      <c r="F296" s="3" t="s">
        <v>728</v>
      </c>
      <c r="G296" s="5">
        <v>30000</v>
      </c>
      <c r="H296" s="5">
        <v>30000</v>
      </c>
      <c r="I296" s="3" t="s">
        <v>823</v>
      </c>
      <c r="J296" s="93" t="s">
        <v>800</v>
      </c>
    </row>
    <row r="297" spans="4:10" ht="18.75" x14ac:dyDescent="0.25">
      <c r="D297" s="3" t="s">
        <v>5</v>
      </c>
      <c r="E297" s="27" t="s">
        <v>407</v>
      </c>
      <c r="F297" s="3" t="s">
        <v>158</v>
      </c>
      <c r="G297" s="5">
        <v>12000</v>
      </c>
      <c r="H297" s="5">
        <v>12000</v>
      </c>
      <c r="I297" s="3" t="s">
        <v>824</v>
      </c>
      <c r="J297" s="93" t="s">
        <v>800</v>
      </c>
    </row>
    <row r="298" spans="4:10" ht="18.75" x14ac:dyDescent="0.25">
      <c r="D298" s="3" t="s">
        <v>88</v>
      </c>
      <c r="E298" s="27" t="s">
        <v>131</v>
      </c>
      <c r="F298" s="3" t="s">
        <v>826</v>
      </c>
      <c r="G298" s="5">
        <v>5000</v>
      </c>
      <c r="H298" s="5">
        <v>5000</v>
      </c>
      <c r="I298" s="3" t="s">
        <v>824</v>
      </c>
      <c r="J298" s="93" t="s">
        <v>800</v>
      </c>
    </row>
    <row r="299" spans="4:10" ht="18.75" x14ac:dyDescent="0.25">
      <c r="D299" s="3" t="s">
        <v>88</v>
      </c>
      <c r="E299" s="27" t="s">
        <v>589</v>
      </c>
      <c r="F299" s="3" t="s">
        <v>353</v>
      </c>
      <c r="G299" s="5">
        <v>5000</v>
      </c>
      <c r="H299" s="5">
        <v>5000</v>
      </c>
      <c r="I299" s="3" t="s">
        <v>824</v>
      </c>
      <c r="J299" s="93" t="s">
        <v>800</v>
      </c>
    </row>
    <row r="300" spans="4:10" ht="18.75" x14ac:dyDescent="0.25">
      <c r="D300" s="3" t="s">
        <v>19</v>
      </c>
      <c r="E300" s="27" t="s">
        <v>798</v>
      </c>
      <c r="F300" s="3" t="s">
        <v>828</v>
      </c>
      <c r="G300" s="5">
        <v>22000</v>
      </c>
      <c r="H300" s="5">
        <v>22000</v>
      </c>
      <c r="I300" s="3" t="s">
        <v>806</v>
      </c>
      <c r="J300" s="93" t="s">
        <v>800</v>
      </c>
    </row>
    <row r="301" spans="4:10" ht="18.75" x14ac:dyDescent="0.25">
      <c r="D301" s="3" t="s">
        <v>32</v>
      </c>
      <c r="E301" s="27" t="s">
        <v>829</v>
      </c>
      <c r="F301" s="3" t="s">
        <v>830</v>
      </c>
      <c r="G301" s="5">
        <v>6000</v>
      </c>
      <c r="H301" s="5">
        <v>6000</v>
      </c>
      <c r="I301" s="3" t="s">
        <v>831</v>
      </c>
      <c r="J301" s="93" t="s">
        <v>800</v>
      </c>
    </row>
    <row r="302" spans="4:10" ht="18.75" x14ac:dyDescent="0.25">
      <c r="D302" s="3" t="s">
        <v>32</v>
      </c>
      <c r="E302" s="27" t="s">
        <v>832</v>
      </c>
      <c r="F302" s="3" t="s">
        <v>384</v>
      </c>
      <c r="G302" s="5">
        <v>4500</v>
      </c>
      <c r="H302" s="5">
        <v>2185</v>
      </c>
      <c r="I302" s="3" t="s">
        <v>831</v>
      </c>
      <c r="J302" s="93" t="s">
        <v>800</v>
      </c>
    </row>
    <row r="303" spans="4:10" ht="18.75" x14ac:dyDescent="0.25">
      <c r="D303" s="3" t="s">
        <v>32</v>
      </c>
      <c r="E303" s="27" t="s">
        <v>833</v>
      </c>
      <c r="F303" s="3" t="s">
        <v>384</v>
      </c>
      <c r="G303" s="5">
        <v>4500</v>
      </c>
      <c r="H303" s="5">
        <v>2185</v>
      </c>
      <c r="I303" s="3" t="s">
        <v>831</v>
      </c>
      <c r="J303" s="93" t="s">
        <v>800</v>
      </c>
    </row>
    <row r="304" spans="4:10" ht="18.75" x14ac:dyDescent="0.25">
      <c r="D304" s="3" t="s">
        <v>32</v>
      </c>
      <c r="E304" s="27" t="s">
        <v>834</v>
      </c>
      <c r="F304" s="3" t="s">
        <v>835</v>
      </c>
      <c r="G304" s="5">
        <v>7000</v>
      </c>
      <c r="H304" s="5">
        <v>7000</v>
      </c>
      <c r="I304" s="3" t="s">
        <v>836</v>
      </c>
      <c r="J304" s="93" t="s">
        <v>800</v>
      </c>
    </row>
    <row r="305" spans="4:10" ht="18.75" x14ac:dyDescent="0.25">
      <c r="D305" s="3" t="s">
        <v>32</v>
      </c>
      <c r="E305" s="27" t="s">
        <v>844</v>
      </c>
      <c r="F305" s="3" t="s">
        <v>845</v>
      </c>
      <c r="G305" s="5">
        <v>30000</v>
      </c>
      <c r="H305" s="5">
        <v>30000</v>
      </c>
      <c r="I305" s="3" t="s">
        <v>836</v>
      </c>
      <c r="J305" s="93" t="s">
        <v>800</v>
      </c>
    </row>
    <row r="306" spans="4:10" ht="18.75" x14ac:dyDescent="0.25">
      <c r="D306" s="3" t="s">
        <v>32</v>
      </c>
      <c r="E306" s="27" t="s">
        <v>834</v>
      </c>
      <c r="F306" s="3" t="s">
        <v>846</v>
      </c>
      <c r="G306" s="5">
        <v>56000</v>
      </c>
      <c r="H306" s="5">
        <v>26000</v>
      </c>
      <c r="I306" s="3" t="s">
        <v>847</v>
      </c>
      <c r="J306" s="93" t="s">
        <v>800</v>
      </c>
    </row>
    <row r="307" spans="4:10" ht="18.75" x14ac:dyDescent="0.25">
      <c r="D307" s="3" t="s">
        <v>19</v>
      </c>
      <c r="E307" s="27" t="s">
        <v>848</v>
      </c>
      <c r="F307" s="3" t="s">
        <v>846</v>
      </c>
      <c r="G307" s="5">
        <v>40000</v>
      </c>
      <c r="H307" s="5">
        <v>11380</v>
      </c>
      <c r="I307" s="3" t="s">
        <v>849</v>
      </c>
      <c r="J307" s="93" t="s">
        <v>800</v>
      </c>
    </row>
    <row r="308" spans="4:10" ht="18.75" x14ac:dyDescent="0.25">
      <c r="D308" s="3" t="s">
        <v>19</v>
      </c>
      <c r="E308" s="27" t="s">
        <v>227</v>
      </c>
      <c r="F308" s="3" t="s">
        <v>850</v>
      </c>
      <c r="G308" s="5">
        <v>230000</v>
      </c>
      <c r="H308" s="5">
        <v>34450</v>
      </c>
      <c r="I308" s="3" t="s">
        <v>849</v>
      </c>
      <c r="J308" s="93" t="s">
        <v>800</v>
      </c>
    </row>
    <row r="309" spans="4:10" ht="18.75" x14ac:dyDescent="0.25">
      <c r="D309" s="3" t="s">
        <v>19</v>
      </c>
      <c r="E309" s="27" t="s">
        <v>227</v>
      </c>
      <c r="F309" s="3" t="s">
        <v>851</v>
      </c>
      <c r="G309" s="5">
        <v>84500</v>
      </c>
      <c r="H309" s="5">
        <v>69740</v>
      </c>
      <c r="I309" s="3" t="s">
        <v>849</v>
      </c>
      <c r="J309" s="93" t="s">
        <v>800</v>
      </c>
    </row>
    <row r="310" spans="4:10" ht="18.75" x14ac:dyDescent="0.25">
      <c r="D310" s="3" t="s">
        <v>32</v>
      </c>
      <c r="E310" s="27" t="s">
        <v>852</v>
      </c>
      <c r="F310" s="3" t="s">
        <v>353</v>
      </c>
      <c r="G310" s="5">
        <v>7000</v>
      </c>
      <c r="H310" s="5">
        <v>7000</v>
      </c>
      <c r="I310" s="3" t="s">
        <v>823</v>
      </c>
      <c r="J310" s="93" t="s">
        <v>800</v>
      </c>
    </row>
    <row r="311" spans="4:10" ht="18.75" x14ac:dyDescent="0.25">
      <c r="D311" s="3" t="s">
        <v>88</v>
      </c>
      <c r="E311" s="27" t="s">
        <v>264</v>
      </c>
      <c r="F311" s="3" t="s">
        <v>853</v>
      </c>
      <c r="G311" s="5">
        <v>12000</v>
      </c>
      <c r="H311" s="5">
        <v>12000</v>
      </c>
      <c r="I311" s="3" t="s">
        <v>849</v>
      </c>
      <c r="J311" s="93" t="s">
        <v>800</v>
      </c>
    </row>
    <row r="312" spans="4:10" ht="18.75" x14ac:dyDescent="0.25">
      <c r="D312" s="3" t="s">
        <v>19</v>
      </c>
      <c r="E312" s="27" t="s">
        <v>903</v>
      </c>
      <c r="F312" s="3" t="s">
        <v>855</v>
      </c>
      <c r="G312" s="5">
        <v>30000</v>
      </c>
      <c r="H312" s="5">
        <v>8000</v>
      </c>
      <c r="I312" s="3" t="s">
        <v>849</v>
      </c>
      <c r="J312" s="93" t="s">
        <v>800</v>
      </c>
    </row>
    <row r="313" spans="4:10" ht="18.75" x14ac:dyDescent="0.25">
      <c r="D313" s="3" t="s">
        <v>32</v>
      </c>
      <c r="E313" s="27" t="s">
        <v>157</v>
      </c>
      <c r="F313" s="3" t="s">
        <v>856</v>
      </c>
      <c r="G313" s="5">
        <v>10000</v>
      </c>
      <c r="H313" s="5">
        <v>10000</v>
      </c>
      <c r="I313" s="3" t="s">
        <v>849</v>
      </c>
      <c r="J313" s="93" t="s">
        <v>800</v>
      </c>
    </row>
    <row r="314" spans="4:10" ht="18.75" x14ac:dyDescent="0.25">
      <c r="D314" s="3" t="s">
        <v>32</v>
      </c>
      <c r="E314" s="27" t="s">
        <v>436</v>
      </c>
      <c r="F314" s="3" t="s">
        <v>857</v>
      </c>
      <c r="G314" s="5">
        <v>10000</v>
      </c>
      <c r="H314" s="5">
        <v>10000</v>
      </c>
      <c r="I314" s="3" t="s">
        <v>858</v>
      </c>
      <c r="J314" s="93" t="s">
        <v>800</v>
      </c>
    </row>
    <row r="315" spans="4:10" ht="18.75" x14ac:dyDescent="0.25">
      <c r="D315" s="3" t="s">
        <v>32</v>
      </c>
      <c r="E315" s="27" t="s">
        <v>859</v>
      </c>
      <c r="F315" s="3" t="s">
        <v>857</v>
      </c>
      <c r="G315" s="5">
        <v>7000</v>
      </c>
      <c r="H315" s="5">
        <v>7000</v>
      </c>
      <c r="I315" s="3" t="s">
        <v>858</v>
      </c>
      <c r="J315" s="93" t="s">
        <v>800</v>
      </c>
    </row>
    <row r="316" spans="4:10" ht="18.75" x14ac:dyDescent="0.25">
      <c r="D316" s="3" t="s">
        <v>19</v>
      </c>
      <c r="E316" s="27" t="s">
        <v>860</v>
      </c>
      <c r="F316" s="3" t="s">
        <v>861</v>
      </c>
      <c r="G316" s="5">
        <v>2500</v>
      </c>
      <c r="H316" s="5">
        <v>2500</v>
      </c>
      <c r="I316" s="3" t="s">
        <v>862</v>
      </c>
      <c r="J316" s="93" t="s">
        <v>800</v>
      </c>
    </row>
    <row r="317" spans="4:10" ht="18.75" x14ac:dyDescent="0.25">
      <c r="D317" s="3" t="s">
        <v>32</v>
      </c>
      <c r="E317" s="27" t="s">
        <v>791</v>
      </c>
      <c r="F317" s="3" t="s">
        <v>863</v>
      </c>
      <c r="G317" s="5">
        <v>25000</v>
      </c>
      <c r="H317" s="5">
        <v>25000</v>
      </c>
      <c r="I317" s="3" t="s">
        <v>862</v>
      </c>
      <c r="J317" s="93" t="s">
        <v>800</v>
      </c>
    </row>
    <row r="318" spans="4:10" ht="18.75" x14ac:dyDescent="0.25">
      <c r="D318" s="3" t="s">
        <v>88</v>
      </c>
      <c r="E318" s="27" t="s">
        <v>133</v>
      </c>
      <c r="F318" s="3" t="s">
        <v>864</v>
      </c>
      <c r="G318" s="5">
        <v>15000</v>
      </c>
      <c r="H318" s="5">
        <v>15000</v>
      </c>
      <c r="I318" s="3" t="s">
        <v>862</v>
      </c>
      <c r="J318" s="93" t="s">
        <v>800</v>
      </c>
    </row>
    <row r="319" spans="4:10" ht="18.75" x14ac:dyDescent="0.25">
      <c r="D319" s="3" t="s">
        <v>19</v>
      </c>
      <c r="E319" s="27" t="s">
        <v>865</v>
      </c>
      <c r="F319" s="3" t="s">
        <v>866</v>
      </c>
      <c r="G319" s="5">
        <v>40000</v>
      </c>
      <c r="H319" s="5">
        <v>21000</v>
      </c>
      <c r="I319" s="3" t="s">
        <v>867</v>
      </c>
      <c r="J319" s="93" t="s">
        <v>800</v>
      </c>
    </row>
    <row r="320" spans="4:10" ht="18.75" x14ac:dyDescent="0.25">
      <c r="D320" s="3" t="s">
        <v>19</v>
      </c>
      <c r="E320" s="27" t="s">
        <v>868</v>
      </c>
      <c r="F320" s="3" t="s">
        <v>866</v>
      </c>
      <c r="G320" s="5">
        <v>65000</v>
      </c>
      <c r="H320" s="5">
        <v>20900</v>
      </c>
      <c r="I320" s="3" t="s">
        <v>867</v>
      </c>
      <c r="J320" s="93" t="s">
        <v>800</v>
      </c>
    </row>
    <row r="321" spans="4:10" ht="18.75" x14ac:dyDescent="0.25">
      <c r="D321" s="3" t="s">
        <v>88</v>
      </c>
      <c r="E321" s="27" t="s">
        <v>869</v>
      </c>
      <c r="F321" s="3" t="s">
        <v>870</v>
      </c>
      <c r="G321" s="5">
        <v>5000</v>
      </c>
      <c r="H321" s="5">
        <v>5000</v>
      </c>
      <c r="I321" s="3" t="s">
        <v>871</v>
      </c>
      <c r="J321" s="93" t="s">
        <v>800</v>
      </c>
    </row>
    <row r="322" spans="4:10" ht="18.75" x14ac:dyDescent="0.25">
      <c r="D322" s="3" t="s">
        <v>19</v>
      </c>
      <c r="E322" s="27" t="s">
        <v>783</v>
      </c>
      <c r="F322" s="3" t="s">
        <v>810</v>
      </c>
      <c r="G322" s="5">
        <v>33500</v>
      </c>
      <c r="H322" s="5">
        <v>6462</v>
      </c>
      <c r="I322" s="3" t="s">
        <v>872</v>
      </c>
      <c r="J322" s="93" t="s">
        <v>800</v>
      </c>
    </row>
    <row r="323" spans="4:10" ht="18.75" x14ac:dyDescent="0.25">
      <c r="D323" s="3" t="s">
        <v>32</v>
      </c>
      <c r="E323" s="27" t="s">
        <v>801</v>
      </c>
      <c r="F323" s="3" t="s">
        <v>873</v>
      </c>
      <c r="G323" s="5">
        <v>29500</v>
      </c>
      <c r="H323" s="5">
        <v>14440</v>
      </c>
      <c r="I323" s="3" t="s">
        <v>872</v>
      </c>
      <c r="J323" s="93" t="s">
        <v>800</v>
      </c>
    </row>
    <row r="324" spans="4:10" ht="18.75" x14ac:dyDescent="0.25">
      <c r="D324" s="3" t="s">
        <v>32</v>
      </c>
      <c r="E324" s="27" t="s">
        <v>770</v>
      </c>
      <c r="F324" s="3" t="s">
        <v>158</v>
      </c>
      <c r="G324" s="5">
        <v>25000</v>
      </c>
      <c r="H324" s="5">
        <v>25000</v>
      </c>
      <c r="I324" s="3" t="s">
        <v>872</v>
      </c>
      <c r="J324" s="93" t="s">
        <v>800</v>
      </c>
    </row>
    <row r="325" spans="4:10" ht="18.75" x14ac:dyDescent="0.25">
      <c r="D325" s="3" t="s">
        <v>32</v>
      </c>
      <c r="E325" s="27" t="s">
        <v>874</v>
      </c>
      <c r="F325" s="3" t="s">
        <v>384</v>
      </c>
      <c r="G325" s="5">
        <v>4500</v>
      </c>
      <c r="H325" s="5">
        <v>2200</v>
      </c>
      <c r="I325" s="3" t="s">
        <v>875</v>
      </c>
      <c r="J325" s="93" t="s">
        <v>800</v>
      </c>
    </row>
    <row r="326" spans="4:10" ht="18.75" x14ac:dyDescent="0.25">
      <c r="D326" s="3" t="s">
        <v>88</v>
      </c>
      <c r="E326" s="27" t="s">
        <v>264</v>
      </c>
      <c r="F326" s="3" t="s">
        <v>876</v>
      </c>
      <c r="G326" s="5">
        <v>12000</v>
      </c>
      <c r="H326" s="5">
        <v>12000</v>
      </c>
      <c r="I326" s="3" t="s">
        <v>875</v>
      </c>
      <c r="J326" s="93" t="s">
        <v>800</v>
      </c>
    </row>
    <row r="327" spans="4:10" ht="18.75" x14ac:dyDescent="0.25">
      <c r="D327" s="3" t="s">
        <v>32</v>
      </c>
      <c r="E327" s="27" t="s">
        <v>877</v>
      </c>
      <c r="F327" s="3" t="s">
        <v>878</v>
      </c>
      <c r="G327" s="5">
        <v>5000</v>
      </c>
      <c r="H327" s="5">
        <v>5000</v>
      </c>
      <c r="I327" s="3" t="s">
        <v>879</v>
      </c>
      <c r="J327" s="93" t="s">
        <v>800</v>
      </c>
    </row>
    <row r="328" spans="4:10" ht="18.75" x14ac:dyDescent="0.25">
      <c r="D328" s="3" t="s">
        <v>19</v>
      </c>
      <c r="E328" s="27" t="s">
        <v>880</v>
      </c>
      <c r="F328" s="3" t="s">
        <v>905</v>
      </c>
      <c r="G328" s="5">
        <v>200000</v>
      </c>
      <c r="H328" s="5">
        <v>43700</v>
      </c>
      <c r="I328" s="3" t="s">
        <v>906</v>
      </c>
      <c r="J328" s="93" t="s">
        <v>800</v>
      </c>
    </row>
    <row r="329" spans="4:10" ht="18.75" x14ac:dyDescent="0.25">
      <c r="D329" s="3" t="s">
        <v>19</v>
      </c>
      <c r="E329" s="27" t="s">
        <v>880</v>
      </c>
      <c r="F329" s="3" t="s">
        <v>881</v>
      </c>
      <c r="G329" s="5">
        <v>199040</v>
      </c>
      <c r="H329" s="5">
        <v>43700</v>
      </c>
      <c r="I329" s="3" t="s">
        <v>879</v>
      </c>
      <c r="J329" s="93" t="s">
        <v>800</v>
      </c>
    </row>
    <row r="330" spans="4:10" ht="18.75" x14ac:dyDescent="0.25">
      <c r="D330" s="3" t="s">
        <v>32</v>
      </c>
      <c r="E330" s="27" t="s">
        <v>789</v>
      </c>
      <c r="F330" s="3" t="s">
        <v>158</v>
      </c>
      <c r="G330" s="5">
        <v>10000</v>
      </c>
      <c r="H330" s="5">
        <v>10000</v>
      </c>
      <c r="I330" s="3" t="s">
        <v>879</v>
      </c>
      <c r="J330" s="93" t="s">
        <v>800</v>
      </c>
    </row>
    <row r="331" spans="4:10" ht="18.75" x14ac:dyDescent="0.25">
      <c r="D331" s="3" t="s">
        <v>5</v>
      </c>
      <c r="E331" s="27" t="s">
        <v>882</v>
      </c>
      <c r="F331" s="3" t="s">
        <v>861</v>
      </c>
      <c r="G331" s="5">
        <v>50000</v>
      </c>
      <c r="H331" s="5">
        <v>50000</v>
      </c>
      <c r="I331" s="3" t="s">
        <v>883</v>
      </c>
      <c r="J331" s="93" t="s">
        <v>800</v>
      </c>
    </row>
    <row r="332" spans="4:10" ht="18.75" x14ac:dyDescent="0.25">
      <c r="D332" s="3" t="s">
        <v>32</v>
      </c>
      <c r="E332" s="27" t="s">
        <v>884</v>
      </c>
      <c r="F332" s="3" t="s">
        <v>83</v>
      </c>
      <c r="G332" s="5">
        <v>48000</v>
      </c>
      <c r="H332" s="5">
        <v>26000</v>
      </c>
      <c r="I332" s="3" t="s">
        <v>883</v>
      </c>
      <c r="J332" s="93" t="s">
        <v>800</v>
      </c>
    </row>
    <row r="333" spans="4:10" ht="18.75" x14ac:dyDescent="0.25">
      <c r="D333" s="3" t="s">
        <v>32</v>
      </c>
      <c r="E333" s="27" t="s">
        <v>885</v>
      </c>
      <c r="F333" s="3" t="s">
        <v>83</v>
      </c>
      <c r="G333" s="5">
        <v>115000</v>
      </c>
      <c r="H333" s="5">
        <v>95000</v>
      </c>
      <c r="I333" s="3" t="s">
        <v>883</v>
      </c>
      <c r="J333" s="93" t="s">
        <v>800</v>
      </c>
    </row>
    <row r="334" spans="4:10" ht="18.75" x14ac:dyDescent="0.25">
      <c r="D334" s="3" t="s">
        <v>32</v>
      </c>
      <c r="E334" s="27" t="s">
        <v>886</v>
      </c>
      <c r="F334" s="3" t="s">
        <v>887</v>
      </c>
      <c r="G334" s="5">
        <v>20000</v>
      </c>
      <c r="H334" s="5">
        <v>20000</v>
      </c>
      <c r="I334" s="3" t="s">
        <v>888</v>
      </c>
      <c r="J334" s="93" t="s">
        <v>800</v>
      </c>
    </row>
    <row r="335" spans="4:10" ht="18.75" x14ac:dyDescent="0.25">
      <c r="D335" s="3" t="s">
        <v>19</v>
      </c>
      <c r="E335" s="27" t="s">
        <v>889</v>
      </c>
      <c r="F335" s="3" t="s">
        <v>83</v>
      </c>
      <c r="G335" s="5">
        <v>55000</v>
      </c>
      <c r="H335" s="5">
        <v>28000</v>
      </c>
      <c r="I335" s="3" t="s">
        <v>888</v>
      </c>
      <c r="J335" s="93" t="s">
        <v>800</v>
      </c>
    </row>
    <row r="336" spans="4:10" ht="18.75" x14ac:dyDescent="0.25">
      <c r="D336" s="3" t="s">
        <v>19</v>
      </c>
      <c r="E336" s="27" t="s">
        <v>907</v>
      </c>
      <c r="F336" s="3" t="s">
        <v>846</v>
      </c>
      <c r="G336" s="5">
        <v>60000</v>
      </c>
      <c r="H336" s="5">
        <v>30000</v>
      </c>
      <c r="I336" s="3" t="s">
        <v>888</v>
      </c>
      <c r="J336" s="93" t="s">
        <v>800</v>
      </c>
    </row>
    <row r="337" spans="4:10" ht="18.75" x14ac:dyDescent="0.25">
      <c r="D337" s="3" t="s">
        <v>32</v>
      </c>
      <c r="E337" s="27" t="s">
        <v>890</v>
      </c>
      <c r="F337" s="3" t="s">
        <v>891</v>
      </c>
      <c r="G337" s="5">
        <v>21000</v>
      </c>
      <c r="H337" s="5">
        <v>21000</v>
      </c>
      <c r="I337" s="3" t="s">
        <v>892</v>
      </c>
      <c r="J337" s="93" t="s">
        <v>800</v>
      </c>
    </row>
    <row r="338" spans="4:10" ht="18.75" x14ac:dyDescent="0.25">
      <c r="D338" s="3" t="s">
        <v>32</v>
      </c>
      <c r="E338" s="27" t="s">
        <v>791</v>
      </c>
      <c r="F338" s="3" t="s">
        <v>136</v>
      </c>
      <c r="G338" s="5">
        <v>15000</v>
      </c>
      <c r="H338" s="5">
        <v>15000</v>
      </c>
      <c r="I338" s="3" t="s">
        <v>892</v>
      </c>
      <c r="J338" s="93" t="s">
        <v>800</v>
      </c>
    </row>
    <row r="339" spans="4:10" ht="18.75" x14ac:dyDescent="0.25">
      <c r="D339" s="3" t="s">
        <v>19</v>
      </c>
      <c r="E339" s="27" t="s">
        <v>227</v>
      </c>
      <c r="F339" s="3" t="s">
        <v>893</v>
      </c>
      <c r="G339" s="5">
        <v>27200</v>
      </c>
      <c r="H339" s="5">
        <v>27200</v>
      </c>
      <c r="I339" s="3" t="s">
        <v>892</v>
      </c>
      <c r="J339" s="93" t="s">
        <v>800</v>
      </c>
    </row>
    <row r="340" spans="4:10" ht="18.75" x14ac:dyDescent="0.25">
      <c r="D340" s="3" t="s">
        <v>19</v>
      </c>
      <c r="E340" s="27" t="s">
        <v>227</v>
      </c>
      <c r="F340" s="3" t="s">
        <v>893</v>
      </c>
      <c r="G340" s="5">
        <v>102000</v>
      </c>
      <c r="H340" s="5">
        <v>102000</v>
      </c>
      <c r="I340" s="3" t="s">
        <v>892</v>
      </c>
      <c r="J340" s="93" t="s">
        <v>800</v>
      </c>
    </row>
    <row r="341" spans="4:10" ht="18.75" x14ac:dyDescent="0.25">
      <c r="D341" s="3" t="s">
        <v>19</v>
      </c>
      <c r="E341" s="27" t="s">
        <v>92</v>
      </c>
      <c r="F341" s="3" t="s">
        <v>894</v>
      </c>
      <c r="G341" s="5">
        <v>45000</v>
      </c>
      <c r="H341" s="5">
        <v>45000</v>
      </c>
      <c r="I341" s="3" t="s">
        <v>892</v>
      </c>
      <c r="J341" s="93" t="s">
        <v>800</v>
      </c>
    </row>
    <row r="342" spans="4:10" ht="18.75" x14ac:dyDescent="0.25">
      <c r="D342" s="3" t="s">
        <v>88</v>
      </c>
      <c r="E342" s="27" t="s">
        <v>895</v>
      </c>
      <c r="F342" s="3" t="s">
        <v>896</v>
      </c>
      <c r="G342" s="5">
        <v>12000</v>
      </c>
      <c r="H342" s="5">
        <v>12000</v>
      </c>
      <c r="I342" s="3" t="s">
        <v>888</v>
      </c>
      <c r="J342" s="93" t="s">
        <v>800</v>
      </c>
    </row>
    <row r="343" spans="4:10" ht="18.75" x14ac:dyDescent="0.25">
      <c r="D343" s="3" t="s">
        <v>32</v>
      </c>
      <c r="E343" s="27" t="s">
        <v>897</v>
      </c>
      <c r="F343" s="3" t="s">
        <v>83</v>
      </c>
      <c r="G343" s="5">
        <v>55000</v>
      </c>
      <c r="H343" s="5">
        <v>32000</v>
      </c>
      <c r="I343" s="3" t="s">
        <v>898</v>
      </c>
      <c r="J343" s="93" t="s">
        <v>800</v>
      </c>
    </row>
    <row r="344" spans="4:10" ht="18.75" x14ac:dyDescent="0.25">
      <c r="D344" s="3" t="s">
        <v>32</v>
      </c>
      <c r="E344" s="27" t="s">
        <v>899</v>
      </c>
      <c r="F344" s="3" t="s">
        <v>878</v>
      </c>
      <c r="G344" s="5">
        <v>5000</v>
      </c>
      <c r="H344" s="5">
        <v>5000</v>
      </c>
      <c r="I344" s="3" t="s">
        <v>900</v>
      </c>
      <c r="J344" s="93" t="s">
        <v>800</v>
      </c>
    </row>
    <row r="345" spans="4:10" ht="18.75" x14ac:dyDescent="0.25">
      <c r="D345" s="3" t="s">
        <v>88</v>
      </c>
      <c r="E345" s="27" t="s">
        <v>339</v>
      </c>
      <c r="F345" s="3" t="s">
        <v>902</v>
      </c>
      <c r="G345" s="5">
        <v>70000</v>
      </c>
      <c r="H345" s="5">
        <v>70000</v>
      </c>
      <c r="I345" s="3" t="s">
        <v>900</v>
      </c>
      <c r="J345" s="93" t="s">
        <v>800</v>
      </c>
    </row>
    <row r="346" spans="4:10" ht="18.75" x14ac:dyDescent="0.3">
      <c r="D346" s="143" t="s">
        <v>67</v>
      </c>
      <c r="E346" s="143"/>
      <c r="F346" s="143"/>
      <c r="G346" s="7">
        <f>SUM(G280:G345)</f>
        <v>2543540</v>
      </c>
      <c r="H346" s="7">
        <f>SUM(H280:H345)</f>
        <v>1525982.4</v>
      </c>
      <c r="I346" s="144" t="s">
        <v>901</v>
      </c>
      <c r="J346" s="144"/>
    </row>
    <row r="347" spans="4:10" ht="18.75" x14ac:dyDescent="0.25">
      <c r="D347" s="3" t="s">
        <v>32</v>
      </c>
      <c r="E347" s="27" t="s">
        <v>910</v>
      </c>
      <c r="F347" s="3" t="s">
        <v>90</v>
      </c>
      <c r="G347" s="5">
        <v>10000</v>
      </c>
      <c r="H347" s="5">
        <v>10000</v>
      </c>
      <c r="I347" s="3" t="s">
        <v>908</v>
      </c>
      <c r="J347" s="93" t="s">
        <v>909</v>
      </c>
    </row>
    <row r="348" spans="4:10" ht="18.75" x14ac:dyDescent="0.25">
      <c r="D348" s="3" t="s">
        <v>5</v>
      </c>
      <c r="E348" s="27" t="s">
        <v>911</v>
      </c>
      <c r="F348" s="3" t="s">
        <v>912</v>
      </c>
      <c r="G348" s="5">
        <v>5000</v>
      </c>
      <c r="H348" s="5">
        <v>5000</v>
      </c>
      <c r="I348" s="3" t="s">
        <v>908</v>
      </c>
      <c r="J348" s="93" t="s">
        <v>909</v>
      </c>
    </row>
    <row r="349" spans="4:10" ht="18.75" x14ac:dyDescent="0.25">
      <c r="D349" s="3" t="s">
        <v>32</v>
      </c>
      <c r="E349" s="27" t="s">
        <v>913</v>
      </c>
      <c r="F349" s="3" t="s">
        <v>914</v>
      </c>
      <c r="G349" s="5">
        <v>25000</v>
      </c>
      <c r="H349" s="5">
        <v>25000</v>
      </c>
      <c r="I349" s="3" t="s">
        <v>915</v>
      </c>
      <c r="J349" s="93" t="s">
        <v>909</v>
      </c>
    </row>
    <row r="350" spans="4:10" ht="18.75" x14ac:dyDescent="0.25">
      <c r="D350" s="3" t="s">
        <v>32</v>
      </c>
      <c r="E350" s="27" t="s">
        <v>916</v>
      </c>
      <c r="F350" s="3" t="s">
        <v>917</v>
      </c>
      <c r="G350" s="5">
        <v>5000</v>
      </c>
      <c r="H350" s="5">
        <v>2550</v>
      </c>
      <c r="I350" s="3" t="s">
        <v>918</v>
      </c>
      <c r="J350" s="93" t="s">
        <v>909</v>
      </c>
    </row>
    <row r="351" spans="4:10" ht="18.75" x14ac:dyDescent="0.25">
      <c r="D351" s="3" t="s">
        <v>5</v>
      </c>
      <c r="E351" s="27" t="s">
        <v>919</v>
      </c>
      <c r="F351" s="3" t="s">
        <v>90</v>
      </c>
      <c r="G351" s="5">
        <v>2000</v>
      </c>
      <c r="H351" s="5">
        <v>2000</v>
      </c>
      <c r="I351" s="3" t="s">
        <v>920</v>
      </c>
      <c r="J351" s="93" t="s">
        <v>909</v>
      </c>
    </row>
    <row r="352" spans="4:10" ht="18.75" x14ac:dyDescent="0.25">
      <c r="D352" s="3" t="s">
        <v>5</v>
      </c>
      <c r="E352" s="27" t="s">
        <v>919</v>
      </c>
      <c r="F352" s="3" t="s">
        <v>921</v>
      </c>
      <c r="G352" s="5">
        <v>10000</v>
      </c>
      <c r="H352" s="5">
        <v>5300</v>
      </c>
      <c r="I352" s="3" t="s">
        <v>920</v>
      </c>
      <c r="J352" s="93" t="s">
        <v>909</v>
      </c>
    </row>
    <row r="353" spans="4:10" ht="18.75" x14ac:dyDescent="0.25">
      <c r="D353" s="3" t="s">
        <v>32</v>
      </c>
      <c r="E353" s="27" t="s">
        <v>923</v>
      </c>
      <c r="F353" s="3" t="s">
        <v>914</v>
      </c>
      <c r="G353" s="5">
        <v>30000</v>
      </c>
      <c r="H353" s="5">
        <v>30000</v>
      </c>
      <c r="I353" s="3" t="s">
        <v>920</v>
      </c>
      <c r="J353" s="93" t="s">
        <v>909</v>
      </c>
    </row>
    <row r="354" spans="4:10" ht="18.75" x14ac:dyDescent="0.25">
      <c r="D354" s="3" t="s">
        <v>32</v>
      </c>
      <c r="E354" s="27" t="s">
        <v>972</v>
      </c>
      <c r="F354" s="3" t="s">
        <v>973</v>
      </c>
      <c r="G354" s="5">
        <v>5000</v>
      </c>
      <c r="H354" s="5">
        <v>5000</v>
      </c>
      <c r="I354" s="3" t="s">
        <v>974</v>
      </c>
      <c r="J354" s="93" t="s">
        <v>909</v>
      </c>
    </row>
    <row r="355" spans="4:10" ht="18.75" x14ac:dyDescent="0.25">
      <c r="D355" s="3" t="s">
        <v>32</v>
      </c>
      <c r="E355" s="27" t="s">
        <v>975</v>
      </c>
      <c r="F355" s="3" t="s">
        <v>976</v>
      </c>
      <c r="G355" s="5">
        <v>45000</v>
      </c>
      <c r="H355" s="5">
        <v>31680</v>
      </c>
      <c r="I355" s="3" t="s">
        <v>977</v>
      </c>
      <c r="J355" s="93" t="s">
        <v>909</v>
      </c>
    </row>
    <row r="356" spans="4:10" ht="18.75" x14ac:dyDescent="0.25">
      <c r="D356" s="3" t="s">
        <v>5</v>
      </c>
      <c r="E356" s="27" t="s">
        <v>986</v>
      </c>
      <c r="F356" s="3" t="s">
        <v>987</v>
      </c>
      <c r="G356" s="5">
        <v>10000</v>
      </c>
      <c r="H356" s="5">
        <v>3422</v>
      </c>
      <c r="I356" s="3" t="s">
        <v>977</v>
      </c>
      <c r="J356" s="93" t="s">
        <v>909</v>
      </c>
    </row>
    <row r="357" spans="4:10" ht="18.75" x14ac:dyDescent="0.25">
      <c r="D357" s="3" t="s">
        <v>32</v>
      </c>
      <c r="E357" s="27" t="s">
        <v>978</v>
      </c>
      <c r="F357" s="3" t="s">
        <v>914</v>
      </c>
      <c r="G357" s="5">
        <v>30000</v>
      </c>
      <c r="H357" s="5">
        <v>30000</v>
      </c>
      <c r="I357" s="3" t="s">
        <v>977</v>
      </c>
      <c r="J357" s="93" t="s">
        <v>909</v>
      </c>
    </row>
    <row r="358" spans="4:10" ht="18.75" x14ac:dyDescent="0.25">
      <c r="D358" s="3" t="s">
        <v>5</v>
      </c>
      <c r="E358" s="27" t="s">
        <v>979</v>
      </c>
      <c r="F358" s="3" t="s">
        <v>980</v>
      </c>
      <c r="G358" s="5">
        <v>296000</v>
      </c>
      <c r="H358" s="5">
        <v>106260</v>
      </c>
      <c r="I358" s="3" t="s">
        <v>981</v>
      </c>
      <c r="J358" s="93" t="s">
        <v>909</v>
      </c>
    </row>
    <row r="359" spans="4:10" ht="18.75" x14ac:dyDescent="0.25">
      <c r="D359" s="3" t="s">
        <v>19</v>
      </c>
      <c r="E359" s="27" t="s">
        <v>982</v>
      </c>
      <c r="F359" s="3" t="s">
        <v>983</v>
      </c>
      <c r="G359" s="5">
        <v>3000</v>
      </c>
      <c r="H359" s="5">
        <v>3000</v>
      </c>
      <c r="I359" s="3" t="s">
        <v>981</v>
      </c>
      <c r="J359" s="93" t="s">
        <v>909</v>
      </c>
    </row>
    <row r="360" spans="4:10" ht="18.75" x14ac:dyDescent="0.25">
      <c r="D360" s="3" t="s">
        <v>32</v>
      </c>
      <c r="E360" s="27" t="s">
        <v>985</v>
      </c>
      <c r="F360" s="3" t="s">
        <v>914</v>
      </c>
      <c r="G360" s="5">
        <v>10000</v>
      </c>
      <c r="H360" s="5">
        <v>10000</v>
      </c>
      <c r="I360" s="3" t="s">
        <v>984</v>
      </c>
      <c r="J360" s="93" t="s">
        <v>909</v>
      </c>
    </row>
    <row r="361" spans="4:10" ht="18.75" x14ac:dyDescent="0.25">
      <c r="D361" s="3" t="s">
        <v>32</v>
      </c>
      <c r="E361" s="27" t="s">
        <v>436</v>
      </c>
      <c r="F361" s="3" t="s">
        <v>914</v>
      </c>
      <c r="G361" s="5">
        <v>10000</v>
      </c>
      <c r="H361" s="5">
        <v>10000</v>
      </c>
      <c r="I361" s="3" t="s">
        <v>984</v>
      </c>
      <c r="J361" s="93" t="s">
        <v>909</v>
      </c>
    </row>
    <row r="362" spans="4:10" ht="18.75" x14ac:dyDescent="0.25">
      <c r="D362" s="3" t="s">
        <v>19</v>
      </c>
      <c r="E362" s="27" t="s">
        <v>1068</v>
      </c>
      <c r="F362" s="3" t="s">
        <v>83</v>
      </c>
      <c r="G362" s="5">
        <v>63000</v>
      </c>
      <c r="H362" s="5">
        <v>31200</v>
      </c>
      <c r="I362" s="3" t="s">
        <v>984</v>
      </c>
      <c r="J362" s="93" t="s">
        <v>909</v>
      </c>
    </row>
    <row r="363" spans="4:10" ht="18.75" x14ac:dyDescent="0.25">
      <c r="D363" s="3" t="s">
        <v>32</v>
      </c>
      <c r="E363" s="27" t="s">
        <v>988</v>
      </c>
      <c r="F363" s="3" t="s">
        <v>914</v>
      </c>
      <c r="G363" s="5">
        <v>6000</v>
      </c>
      <c r="H363" s="5">
        <v>6000</v>
      </c>
      <c r="I363" s="3" t="s">
        <v>989</v>
      </c>
      <c r="J363" s="93" t="s">
        <v>909</v>
      </c>
    </row>
    <row r="364" spans="4:10" ht="18.75" x14ac:dyDescent="0.25">
      <c r="D364" s="3" t="s">
        <v>32</v>
      </c>
      <c r="E364" s="27" t="s">
        <v>990</v>
      </c>
      <c r="F364" s="3" t="s">
        <v>90</v>
      </c>
      <c r="G364" s="5">
        <v>7000</v>
      </c>
      <c r="H364" s="5">
        <v>7000</v>
      </c>
      <c r="I364" s="3" t="s">
        <v>989</v>
      </c>
      <c r="J364" s="93" t="s">
        <v>909</v>
      </c>
    </row>
    <row r="365" spans="4:10" ht="18.75" x14ac:dyDescent="0.25">
      <c r="D365" s="3" t="s">
        <v>32</v>
      </c>
      <c r="E365" s="27" t="s">
        <v>991</v>
      </c>
      <c r="F365" s="3" t="s">
        <v>992</v>
      </c>
      <c r="G365" s="5">
        <v>5000</v>
      </c>
      <c r="H365" s="5">
        <v>5000</v>
      </c>
      <c r="I365" s="3" t="s">
        <v>989</v>
      </c>
      <c r="J365" s="93" t="s">
        <v>909</v>
      </c>
    </row>
    <row r="366" spans="4:10" ht="18.75" x14ac:dyDescent="0.25">
      <c r="D366" s="3" t="s">
        <v>32</v>
      </c>
      <c r="E366" s="27" t="s">
        <v>791</v>
      </c>
      <c r="F366" s="3" t="s">
        <v>912</v>
      </c>
      <c r="G366" s="5">
        <v>25000</v>
      </c>
      <c r="H366" s="5">
        <v>25000</v>
      </c>
      <c r="I366" s="3" t="s">
        <v>989</v>
      </c>
      <c r="J366" s="93" t="s">
        <v>909</v>
      </c>
    </row>
    <row r="367" spans="4:10" ht="18.75" x14ac:dyDescent="0.25">
      <c r="D367" s="3" t="s">
        <v>32</v>
      </c>
      <c r="E367" s="27" t="s">
        <v>993</v>
      </c>
      <c r="F367" s="3" t="s">
        <v>994</v>
      </c>
      <c r="G367" s="5">
        <v>7000</v>
      </c>
      <c r="H367" s="5">
        <v>7000</v>
      </c>
      <c r="I367" s="3" t="s">
        <v>989</v>
      </c>
      <c r="J367" s="93" t="s">
        <v>909</v>
      </c>
    </row>
    <row r="368" spans="4:10" ht="18.75" x14ac:dyDescent="0.25">
      <c r="D368" s="3" t="s">
        <v>32</v>
      </c>
      <c r="E368" s="27" t="s">
        <v>990</v>
      </c>
      <c r="F368" s="3" t="s">
        <v>83</v>
      </c>
      <c r="G368" s="5">
        <v>73000</v>
      </c>
      <c r="H368" s="5">
        <v>27000</v>
      </c>
      <c r="I368" s="3" t="s">
        <v>995</v>
      </c>
      <c r="J368" s="93" t="s">
        <v>909</v>
      </c>
    </row>
    <row r="369" spans="4:10" ht="18.75" x14ac:dyDescent="0.25">
      <c r="D369" s="3" t="s">
        <v>32</v>
      </c>
      <c r="E369" s="27" t="s">
        <v>996</v>
      </c>
      <c r="F369" s="3" t="s">
        <v>83</v>
      </c>
      <c r="G369" s="5">
        <v>80000</v>
      </c>
      <c r="H369" s="5">
        <v>42000</v>
      </c>
      <c r="I369" s="3" t="s">
        <v>995</v>
      </c>
      <c r="J369" s="93" t="s">
        <v>909</v>
      </c>
    </row>
    <row r="370" spans="4:10" ht="18.75" x14ac:dyDescent="0.25">
      <c r="D370" s="3" t="s">
        <v>32</v>
      </c>
      <c r="E370" s="27" t="s">
        <v>997</v>
      </c>
      <c r="F370" s="3" t="s">
        <v>914</v>
      </c>
      <c r="G370" s="5">
        <v>5000</v>
      </c>
      <c r="H370" s="5">
        <v>5000</v>
      </c>
      <c r="I370" s="3" t="s">
        <v>998</v>
      </c>
      <c r="J370" s="93" t="s">
        <v>909</v>
      </c>
    </row>
    <row r="371" spans="4:10" ht="18.75" x14ac:dyDescent="0.25">
      <c r="D371" s="3" t="s">
        <v>88</v>
      </c>
      <c r="E371" s="27" t="s">
        <v>133</v>
      </c>
      <c r="F371" s="3" t="s">
        <v>999</v>
      </c>
      <c r="G371" s="5">
        <v>15000</v>
      </c>
      <c r="H371" s="5">
        <v>15000</v>
      </c>
      <c r="I371" s="3" t="s">
        <v>998</v>
      </c>
      <c r="J371" s="93" t="s">
        <v>909</v>
      </c>
    </row>
    <row r="372" spans="4:10" ht="18.75" x14ac:dyDescent="0.25">
      <c r="D372" s="3" t="s">
        <v>32</v>
      </c>
      <c r="E372" s="27" t="s">
        <v>814</v>
      </c>
      <c r="F372" s="3" t="s">
        <v>914</v>
      </c>
      <c r="G372" s="5">
        <v>6000</v>
      </c>
      <c r="H372" s="5">
        <v>6000</v>
      </c>
      <c r="I372" s="3" t="s">
        <v>1000</v>
      </c>
      <c r="J372" s="93" t="s">
        <v>909</v>
      </c>
    </row>
    <row r="373" spans="4:10" ht="18.75" x14ac:dyDescent="0.25">
      <c r="D373" s="3" t="s">
        <v>32</v>
      </c>
      <c r="E373" s="27" t="s">
        <v>1001</v>
      </c>
      <c r="F373" s="3" t="s">
        <v>914</v>
      </c>
      <c r="G373" s="5">
        <v>21000</v>
      </c>
      <c r="H373" s="5">
        <v>21000</v>
      </c>
      <c r="I373" s="3" t="s">
        <v>1000</v>
      </c>
      <c r="J373" s="93" t="s">
        <v>909</v>
      </c>
    </row>
    <row r="374" spans="4:10" ht="18.75" x14ac:dyDescent="0.25">
      <c r="D374" s="3" t="s">
        <v>32</v>
      </c>
      <c r="E374" s="27" t="s">
        <v>1002</v>
      </c>
      <c r="F374" s="3" t="s">
        <v>914</v>
      </c>
      <c r="G374" s="5">
        <v>25000</v>
      </c>
      <c r="H374" s="5">
        <v>25000</v>
      </c>
      <c r="I374" s="3" t="s">
        <v>1003</v>
      </c>
      <c r="J374" s="93" t="s">
        <v>909</v>
      </c>
    </row>
    <row r="375" spans="4:10" ht="18.75" x14ac:dyDescent="0.25">
      <c r="D375" s="3" t="s">
        <v>32</v>
      </c>
      <c r="E375" s="27" t="s">
        <v>1004</v>
      </c>
      <c r="F375" s="3" t="s">
        <v>90</v>
      </c>
      <c r="G375" s="5">
        <v>5000</v>
      </c>
      <c r="H375" s="5">
        <v>5000</v>
      </c>
      <c r="I375" s="3" t="s">
        <v>998</v>
      </c>
      <c r="J375" s="93" t="s">
        <v>909</v>
      </c>
    </row>
    <row r="376" spans="4:10" ht="18.75" x14ac:dyDescent="0.25">
      <c r="D376" s="3" t="s">
        <v>32</v>
      </c>
      <c r="E376" s="27" t="s">
        <v>1005</v>
      </c>
      <c r="F376" s="3" t="s">
        <v>1006</v>
      </c>
      <c r="G376" s="5">
        <v>4900</v>
      </c>
      <c r="H376" s="5">
        <v>3530</v>
      </c>
      <c r="I376" s="3" t="s">
        <v>1007</v>
      </c>
      <c r="J376" s="93" t="s">
        <v>909</v>
      </c>
    </row>
    <row r="377" spans="4:10" ht="18.75" x14ac:dyDescent="0.25">
      <c r="D377" s="3" t="s">
        <v>88</v>
      </c>
      <c r="E377" s="27" t="s">
        <v>869</v>
      </c>
      <c r="F377" s="3" t="s">
        <v>1008</v>
      </c>
      <c r="G377" s="5">
        <v>7500</v>
      </c>
      <c r="H377" s="5">
        <v>7500</v>
      </c>
      <c r="I377" s="3" t="s">
        <v>1007</v>
      </c>
      <c r="J377" s="93" t="s">
        <v>909</v>
      </c>
    </row>
    <row r="378" spans="4:10" ht="18.75" x14ac:dyDescent="0.25">
      <c r="D378" s="3" t="s">
        <v>88</v>
      </c>
      <c r="E378" s="27" t="s">
        <v>264</v>
      </c>
      <c r="F378" s="3" t="s">
        <v>1009</v>
      </c>
      <c r="G378" s="5">
        <v>12000</v>
      </c>
      <c r="H378" s="5">
        <v>12000</v>
      </c>
      <c r="I378" s="3" t="s">
        <v>1000</v>
      </c>
      <c r="J378" s="93" t="s">
        <v>909</v>
      </c>
    </row>
    <row r="379" spans="4:10" ht="18.75" x14ac:dyDescent="0.25">
      <c r="D379" s="3" t="s">
        <v>32</v>
      </c>
      <c r="E379" s="27" t="s">
        <v>778</v>
      </c>
      <c r="F379" s="3" t="s">
        <v>914</v>
      </c>
      <c r="G379" s="5">
        <v>35000</v>
      </c>
      <c r="H379" s="5">
        <v>35000</v>
      </c>
      <c r="I379" s="3" t="s">
        <v>1007</v>
      </c>
      <c r="J379" s="93" t="s">
        <v>909</v>
      </c>
    </row>
    <row r="380" spans="4:10" ht="18.75" x14ac:dyDescent="0.25">
      <c r="D380" s="3" t="s">
        <v>88</v>
      </c>
      <c r="E380" s="27" t="s">
        <v>1010</v>
      </c>
      <c r="F380" s="3" t="s">
        <v>1011</v>
      </c>
      <c r="G380" s="5">
        <v>12000</v>
      </c>
      <c r="H380" s="5">
        <v>12000</v>
      </c>
      <c r="I380" s="3" t="s">
        <v>1000</v>
      </c>
      <c r="J380" s="93" t="s">
        <v>909</v>
      </c>
    </row>
    <row r="381" spans="4:10" ht="18.75" x14ac:dyDescent="0.25">
      <c r="D381" s="3" t="s">
        <v>32</v>
      </c>
      <c r="E381" s="27" t="s">
        <v>724</v>
      </c>
      <c r="F381" s="3" t="s">
        <v>914</v>
      </c>
      <c r="G381" s="5">
        <v>15000</v>
      </c>
      <c r="H381" s="5">
        <v>15000</v>
      </c>
      <c r="I381" s="3" t="s">
        <v>1012</v>
      </c>
      <c r="J381" s="93" t="s">
        <v>909</v>
      </c>
    </row>
    <row r="382" spans="4:10" ht="18.75" x14ac:dyDescent="0.25">
      <c r="D382" s="3" t="s">
        <v>32</v>
      </c>
      <c r="E382" s="27" t="s">
        <v>1013</v>
      </c>
      <c r="F382" s="3" t="s">
        <v>1015</v>
      </c>
      <c r="G382" s="5">
        <v>80000</v>
      </c>
      <c r="H382" s="5">
        <v>80000</v>
      </c>
      <c r="I382" s="3" t="s">
        <v>1014</v>
      </c>
      <c r="J382" s="93" t="s">
        <v>909</v>
      </c>
    </row>
    <row r="383" spans="4:10" ht="18.75" x14ac:dyDescent="0.25">
      <c r="D383" s="3" t="s">
        <v>32</v>
      </c>
      <c r="E383" s="27" t="s">
        <v>1016</v>
      </c>
      <c r="F383" s="3" t="s">
        <v>160</v>
      </c>
      <c r="G383" s="5">
        <v>25000</v>
      </c>
      <c r="H383" s="5">
        <v>25000</v>
      </c>
      <c r="I383" s="3" t="s">
        <v>1017</v>
      </c>
      <c r="J383" s="93" t="s">
        <v>909</v>
      </c>
    </row>
    <row r="384" spans="4:10" ht="18.75" x14ac:dyDescent="0.25">
      <c r="D384" s="3" t="s">
        <v>32</v>
      </c>
      <c r="E384" s="27" t="s">
        <v>789</v>
      </c>
      <c r="F384" s="3" t="s">
        <v>914</v>
      </c>
      <c r="G384" s="5">
        <v>10000</v>
      </c>
      <c r="H384" s="5">
        <v>10000</v>
      </c>
      <c r="I384" s="3" t="s">
        <v>1014</v>
      </c>
      <c r="J384" s="93" t="s">
        <v>909</v>
      </c>
    </row>
    <row r="385" spans="4:10" ht="18.75" x14ac:dyDescent="0.25">
      <c r="D385" s="3" t="s">
        <v>32</v>
      </c>
      <c r="E385" s="27" t="s">
        <v>1018</v>
      </c>
      <c r="F385" s="3" t="s">
        <v>914</v>
      </c>
      <c r="G385" s="5">
        <v>15000</v>
      </c>
      <c r="H385" s="5">
        <v>15000</v>
      </c>
      <c r="I385" s="3" t="s">
        <v>1019</v>
      </c>
      <c r="J385" s="93" t="s">
        <v>909</v>
      </c>
    </row>
    <row r="386" spans="4:10" ht="18.75" x14ac:dyDescent="0.25">
      <c r="D386" s="3" t="s">
        <v>32</v>
      </c>
      <c r="E386" s="27" t="s">
        <v>1020</v>
      </c>
      <c r="F386" s="3" t="s">
        <v>1021</v>
      </c>
      <c r="G386" s="5">
        <v>70000</v>
      </c>
      <c r="H386" s="5">
        <v>35000</v>
      </c>
      <c r="I386" s="3" t="s">
        <v>1019</v>
      </c>
      <c r="J386" s="93" t="s">
        <v>909</v>
      </c>
    </row>
    <row r="387" spans="4:10" ht="18.75" x14ac:dyDescent="0.3">
      <c r="D387" s="143" t="s">
        <v>67</v>
      </c>
      <c r="E387" s="143"/>
      <c r="F387" s="143"/>
      <c r="G387" s="7">
        <f>SUM(G347:G386)</f>
        <v>1125400</v>
      </c>
      <c r="H387" s="7">
        <f>SUM(H347:H386)</f>
        <v>756442</v>
      </c>
      <c r="I387" s="144" t="s">
        <v>1022</v>
      </c>
      <c r="J387" s="144"/>
    </row>
    <row r="388" spans="4:10" ht="18.75" x14ac:dyDescent="0.25">
      <c r="D388" s="3" t="s">
        <v>5</v>
      </c>
      <c r="E388" s="27" t="s">
        <v>407</v>
      </c>
      <c r="F388" s="3" t="s">
        <v>914</v>
      </c>
      <c r="G388" s="5">
        <v>12000</v>
      </c>
      <c r="H388" s="5">
        <v>12000</v>
      </c>
      <c r="I388" s="3" t="s">
        <v>1023</v>
      </c>
      <c r="J388" s="93" t="s">
        <v>1024</v>
      </c>
    </row>
    <row r="389" spans="4:10" ht="18.75" x14ac:dyDescent="0.25">
      <c r="D389" s="3" t="s">
        <v>32</v>
      </c>
      <c r="E389" s="27" t="s">
        <v>1025</v>
      </c>
      <c r="F389" s="3" t="s">
        <v>1026</v>
      </c>
      <c r="G389" s="5">
        <v>5000</v>
      </c>
      <c r="H389" s="5">
        <v>5000</v>
      </c>
      <c r="I389" s="3" t="s">
        <v>1023</v>
      </c>
      <c r="J389" s="93" t="s">
        <v>1024</v>
      </c>
    </row>
    <row r="390" spans="4:10" ht="18.75" x14ac:dyDescent="0.25">
      <c r="D390" s="3" t="s">
        <v>88</v>
      </c>
      <c r="E390" s="27" t="s">
        <v>1027</v>
      </c>
      <c r="F390" s="3" t="s">
        <v>914</v>
      </c>
      <c r="G390" s="5">
        <v>5000</v>
      </c>
      <c r="H390" s="5">
        <v>5000</v>
      </c>
      <c r="I390" s="3" t="s">
        <v>1028</v>
      </c>
      <c r="J390" s="93" t="s">
        <v>1024</v>
      </c>
    </row>
    <row r="391" spans="4:10" ht="18.75" x14ac:dyDescent="0.25">
      <c r="D391" s="3" t="s">
        <v>32</v>
      </c>
      <c r="E391" s="27" t="s">
        <v>1029</v>
      </c>
      <c r="F391" s="3" t="s">
        <v>914</v>
      </c>
      <c r="G391" s="5">
        <v>25000</v>
      </c>
      <c r="H391" s="5">
        <v>25000</v>
      </c>
      <c r="I391" s="3" t="s">
        <v>1028</v>
      </c>
      <c r="J391" s="93" t="s">
        <v>1024</v>
      </c>
    </row>
    <row r="392" spans="4:10" ht="18.75" x14ac:dyDescent="0.25">
      <c r="D392" s="3" t="s">
        <v>32</v>
      </c>
      <c r="E392" s="27" t="s">
        <v>1030</v>
      </c>
      <c r="F392" s="3" t="s">
        <v>90</v>
      </c>
      <c r="G392" s="5">
        <v>9200</v>
      </c>
      <c r="H392" s="5">
        <v>9200</v>
      </c>
      <c r="I392" s="3" t="s">
        <v>1031</v>
      </c>
      <c r="J392" s="93" t="s">
        <v>1024</v>
      </c>
    </row>
    <row r="393" spans="4:10" ht="18.75" x14ac:dyDescent="0.25">
      <c r="D393" s="3" t="s">
        <v>19</v>
      </c>
      <c r="E393" s="27" t="s">
        <v>92</v>
      </c>
      <c r="F393" s="3" t="s">
        <v>1032</v>
      </c>
      <c r="G393" s="5">
        <v>45000</v>
      </c>
      <c r="H393" s="5">
        <v>45000</v>
      </c>
      <c r="I393" s="3" t="s">
        <v>1031</v>
      </c>
      <c r="J393" s="93" t="s">
        <v>1024</v>
      </c>
    </row>
    <row r="394" spans="4:10" ht="18.75" x14ac:dyDescent="0.25">
      <c r="D394" s="3" t="s">
        <v>19</v>
      </c>
      <c r="E394" s="27" t="s">
        <v>227</v>
      </c>
      <c r="F394" s="3" t="s">
        <v>1033</v>
      </c>
      <c r="G394" s="5">
        <v>102000</v>
      </c>
      <c r="H394" s="5">
        <v>102000</v>
      </c>
      <c r="I394" s="3" t="s">
        <v>1034</v>
      </c>
      <c r="J394" s="93" t="s">
        <v>1024</v>
      </c>
    </row>
    <row r="395" spans="4:10" ht="18.75" x14ac:dyDescent="0.25">
      <c r="D395" s="3" t="s">
        <v>32</v>
      </c>
      <c r="E395" s="27" t="s">
        <v>988</v>
      </c>
      <c r="F395" s="3" t="s">
        <v>914</v>
      </c>
      <c r="G395" s="5">
        <v>6000</v>
      </c>
      <c r="H395" s="5">
        <v>6000</v>
      </c>
      <c r="I395" s="3" t="s">
        <v>1034</v>
      </c>
      <c r="J395" s="93" t="s">
        <v>1024</v>
      </c>
    </row>
    <row r="396" spans="4:10" ht="18.75" x14ac:dyDescent="0.25">
      <c r="D396" s="3" t="s">
        <v>5</v>
      </c>
      <c r="E396" s="27" t="s">
        <v>1035</v>
      </c>
      <c r="F396" s="3" t="s">
        <v>914</v>
      </c>
      <c r="G396" s="5">
        <v>6000</v>
      </c>
      <c r="H396" s="5">
        <v>6000</v>
      </c>
      <c r="I396" s="3" t="s">
        <v>1036</v>
      </c>
      <c r="J396" s="93" t="s">
        <v>1024</v>
      </c>
    </row>
    <row r="397" spans="4:10" ht="18.75" x14ac:dyDescent="0.25">
      <c r="D397" s="3" t="s">
        <v>32</v>
      </c>
      <c r="E397" s="27" t="s">
        <v>1037</v>
      </c>
      <c r="F397" s="3" t="s">
        <v>1041</v>
      </c>
      <c r="G397" s="5">
        <v>5500</v>
      </c>
      <c r="H397" s="5">
        <v>4474</v>
      </c>
      <c r="I397" s="3" t="s">
        <v>1036</v>
      </c>
      <c r="J397" s="93" t="s">
        <v>1024</v>
      </c>
    </row>
    <row r="398" spans="4:10" ht="18.75" x14ac:dyDescent="0.25">
      <c r="D398" s="3" t="s">
        <v>32</v>
      </c>
      <c r="E398" s="27" t="s">
        <v>1038</v>
      </c>
      <c r="F398" s="3" t="s">
        <v>256</v>
      </c>
      <c r="G398" s="5">
        <v>48000</v>
      </c>
      <c r="H398" s="5">
        <v>33000</v>
      </c>
      <c r="I398" s="3" t="s">
        <v>1036</v>
      </c>
      <c r="J398" s="93" t="s">
        <v>1024</v>
      </c>
    </row>
    <row r="399" spans="4:10" ht="18.75" x14ac:dyDescent="0.25">
      <c r="D399" s="3" t="s">
        <v>32</v>
      </c>
      <c r="E399" s="27" t="s">
        <v>1030</v>
      </c>
      <c r="F399" s="3" t="s">
        <v>83</v>
      </c>
      <c r="G399" s="5">
        <v>82800</v>
      </c>
      <c r="H399" s="5">
        <v>48800</v>
      </c>
      <c r="I399" s="3" t="s">
        <v>1039</v>
      </c>
      <c r="J399" s="93" t="s">
        <v>1024</v>
      </c>
    </row>
    <row r="400" spans="4:10" ht="18.75" x14ac:dyDescent="0.25">
      <c r="D400" s="3" t="s">
        <v>32</v>
      </c>
      <c r="E400" s="27" t="s">
        <v>923</v>
      </c>
      <c r="F400" s="3" t="s">
        <v>914</v>
      </c>
      <c r="G400" s="5">
        <v>30000</v>
      </c>
      <c r="H400" s="5">
        <v>30000</v>
      </c>
      <c r="I400" s="3" t="s">
        <v>1040</v>
      </c>
      <c r="J400" s="93" t="s">
        <v>1024</v>
      </c>
    </row>
    <row r="401" spans="1:10" ht="18.75" x14ac:dyDescent="0.25">
      <c r="D401" s="3" t="s">
        <v>19</v>
      </c>
      <c r="E401" s="27" t="s">
        <v>350</v>
      </c>
      <c r="F401" s="3" t="s">
        <v>1043</v>
      </c>
      <c r="G401" s="5">
        <v>20000</v>
      </c>
      <c r="H401" s="5">
        <v>16598</v>
      </c>
      <c r="I401" s="3" t="s">
        <v>1042</v>
      </c>
      <c r="J401" s="93" t="s">
        <v>1024</v>
      </c>
    </row>
    <row r="402" spans="1:10" ht="18.75" x14ac:dyDescent="0.25">
      <c r="D402" s="3" t="s">
        <v>32</v>
      </c>
      <c r="E402" s="27" t="s">
        <v>1044</v>
      </c>
      <c r="F402" s="3" t="s">
        <v>914</v>
      </c>
      <c r="G402" s="5">
        <v>30000</v>
      </c>
      <c r="H402" s="5">
        <v>30000</v>
      </c>
      <c r="I402" s="3" t="s">
        <v>1042</v>
      </c>
      <c r="J402" s="93" t="s">
        <v>1024</v>
      </c>
    </row>
    <row r="403" spans="1:10" ht="18.75" x14ac:dyDescent="0.25">
      <c r="D403" s="3" t="s">
        <v>5</v>
      </c>
      <c r="E403" s="27" t="s">
        <v>786</v>
      </c>
      <c r="F403" s="3" t="s">
        <v>1045</v>
      </c>
      <c r="G403" s="5">
        <v>70000</v>
      </c>
      <c r="H403" s="5">
        <v>32000</v>
      </c>
      <c r="I403" s="3" t="s">
        <v>1046</v>
      </c>
      <c r="J403" s="93" t="s">
        <v>1024</v>
      </c>
    </row>
    <row r="404" spans="1:10" ht="18.75" x14ac:dyDescent="0.25">
      <c r="D404" s="3" t="s">
        <v>32</v>
      </c>
      <c r="E404" s="27" t="s">
        <v>1047</v>
      </c>
      <c r="F404" s="3" t="s">
        <v>83</v>
      </c>
      <c r="G404" s="5">
        <v>94500</v>
      </c>
      <c r="H404" s="5">
        <v>42500</v>
      </c>
      <c r="I404" s="3" t="s">
        <v>1048</v>
      </c>
      <c r="J404" s="93" t="s">
        <v>1024</v>
      </c>
    </row>
    <row r="405" spans="1:10" ht="18.75" x14ac:dyDescent="0.25">
      <c r="D405" s="3" t="s">
        <v>32</v>
      </c>
      <c r="E405" s="27" t="s">
        <v>1047</v>
      </c>
      <c r="F405" s="3" t="s">
        <v>90</v>
      </c>
      <c r="G405" s="5">
        <v>10500</v>
      </c>
      <c r="H405" s="5">
        <v>10500</v>
      </c>
      <c r="I405" s="3" t="s">
        <v>1042</v>
      </c>
      <c r="J405" s="93" t="s">
        <v>1024</v>
      </c>
    </row>
    <row r="406" spans="1:10" ht="18.75" x14ac:dyDescent="0.25">
      <c r="D406" s="3" t="s">
        <v>32</v>
      </c>
      <c r="E406" s="27" t="s">
        <v>436</v>
      </c>
      <c r="F406" s="3" t="s">
        <v>914</v>
      </c>
      <c r="G406" s="5">
        <v>12000</v>
      </c>
      <c r="H406" s="5">
        <v>12000</v>
      </c>
      <c r="I406" s="3" t="s">
        <v>1048</v>
      </c>
      <c r="J406" s="93" t="s">
        <v>1024</v>
      </c>
    </row>
    <row r="407" spans="1:10" ht="18.75" x14ac:dyDescent="0.25">
      <c r="D407" s="3" t="s">
        <v>32</v>
      </c>
      <c r="E407" s="27" t="s">
        <v>993</v>
      </c>
      <c r="F407" s="3" t="s">
        <v>914</v>
      </c>
      <c r="G407" s="5">
        <v>7000</v>
      </c>
      <c r="H407" s="5">
        <v>7000</v>
      </c>
      <c r="I407" s="3" t="s">
        <v>1048</v>
      </c>
      <c r="J407" s="93" t="s">
        <v>1024</v>
      </c>
    </row>
    <row r="408" spans="1:10" ht="18.75" x14ac:dyDescent="0.25">
      <c r="D408" s="3" t="s">
        <v>19</v>
      </c>
      <c r="E408" s="27" t="s">
        <v>1049</v>
      </c>
      <c r="F408" s="3" t="s">
        <v>1050</v>
      </c>
      <c r="G408" s="5">
        <v>8000</v>
      </c>
      <c r="H408" s="5">
        <v>8000</v>
      </c>
      <c r="I408" s="3" t="s">
        <v>1051</v>
      </c>
      <c r="J408" s="93" t="s">
        <v>1024</v>
      </c>
    </row>
    <row r="409" spans="1:10" ht="18.75" x14ac:dyDescent="0.25">
      <c r="D409" s="3" t="s">
        <v>19</v>
      </c>
      <c r="E409" s="27" t="s">
        <v>880</v>
      </c>
      <c r="F409" s="3" t="s">
        <v>1052</v>
      </c>
      <c r="G409" s="5">
        <v>100000</v>
      </c>
      <c r="H409" s="5">
        <v>29540</v>
      </c>
      <c r="I409" s="3" t="s">
        <v>1053</v>
      </c>
      <c r="J409" s="93" t="s">
        <v>1024</v>
      </c>
    </row>
    <row r="410" spans="1:10" ht="18.75" x14ac:dyDescent="0.25">
      <c r="D410" s="3" t="s">
        <v>19</v>
      </c>
      <c r="E410" s="27" t="s">
        <v>880</v>
      </c>
      <c r="F410" s="3" t="s">
        <v>1054</v>
      </c>
      <c r="G410" s="5">
        <v>122680</v>
      </c>
      <c r="H410" s="5">
        <v>29540</v>
      </c>
      <c r="I410" s="3"/>
      <c r="J410" s="93" t="s">
        <v>1024</v>
      </c>
    </row>
    <row r="411" spans="1:10" ht="18.75" x14ac:dyDescent="0.25">
      <c r="D411" s="3" t="s">
        <v>32</v>
      </c>
      <c r="E411" s="27" t="s">
        <v>157</v>
      </c>
      <c r="F411" s="3" t="s">
        <v>914</v>
      </c>
      <c r="G411" s="5">
        <v>12000</v>
      </c>
      <c r="H411" s="5">
        <v>12000</v>
      </c>
      <c r="I411" s="3" t="s">
        <v>1051</v>
      </c>
      <c r="J411" s="93" t="s">
        <v>1024</v>
      </c>
    </row>
    <row r="412" spans="1:10" ht="18.75" x14ac:dyDescent="0.25">
      <c r="D412" s="3" t="s">
        <v>32</v>
      </c>
      <c r="E412" s="27" t="s">
        <v>1055</v>
      </c>
      <c r="F412" s="3" t="s">
        <v>83</v>
      </c>
      <c r="G412" s="5">
        <v>113000</v>
      </c>
      <c r="H412" s="5">
        <v>83000</v>
      </c>
      <c r="I412" s="3" t="s">
        <v>1053</v>
      </c>
      <c r="J412" s="93" t="s">
        <v>1024</v>
      </c>
    </row>
    <row r="413" spans="1:10" ht="18.75" x14ac:dyDescent="0.25">
      <c r="D413" s="3" t="s">
        <v>88</v>
      </c>
      <c r="E413" s="27" t="s">
        <v>133</v>
      </c>
      <c r="F413" s="3" t="s">
        <v>999</v>
      </c>
      <c r="G413" s="5">
        <v>15000</v>
      </c>
      <c r="H413" s="5">
        <v>15000</v>
      </c>
      <c r="I413" s="3" t="s">
        <v>1056</v>
      </c>
      <c r="J413" s="93" t="s">
        <v>1024</v>
      </c>
    </row>
    <row r="414" spans="1:10" ht="18.75" x14ac:dyDescent="0.25">
      <c r="D414" s="3" t="s">
        <v>32</v>
      </c>
      <c r="E414" s="27" t="s">
        <v>1057</v>
      </c>
      <c r="F414" s="3" t="s">
        <v>83</v>
      </c>
      <c r="G414" s="5">
        <v>128000</v>
      </c>
      <c r="H414" s="5">
        <v>78000</v>
      </c>
      <c r="I414" s="3" t="s">
        <v>1056</v>
      </c>
      <c r="J414" s="93" t="s">
        <v>1024</v>
      </c>
    </row>
    <row r="415" spans="1:10" ht="18.75" x14ac:dyDescent="0.25">
      <c r="A415" t="s">
        <v>734</v>
      </c>
      <c r="D415" s="3" t="s">
        <v>32</v>
      </c>
      <c r="E415" s="27" t="s">
        <v>1058</v>
      </c>
      <c r="F415" s="3" t="s">
        <v>1059</v>
      </c>
      <c r="G415" s="5">
        <v>20000</v>
      </c>
      <c r="H415" s="5">
        <v>16598</v>
      </c>
      <c r="I415" s="3" t="s">
        <v>1056</v>
      </c>
      <c r="J415" s="93" t="s">
        <v>1024</v>
      </c>
    </row>
    <row r="416" spans="1:10" ht="18.75" x14ac:dyDescent="0.25">
      <c r="D416" s="3" t="s">
        <v>32</v>
      </c>
      <c r="E416" s="27" t="s">
        <v>869</v>
      </c>
      <c r="F416" s="3" t="s">
        <v>1060</v>
      </c>
      <c r="G416" s="5">
        <v>7500</v>
      </c>
      <c r="H416" s="5">
        <v>7500</v>
      </c>
      <c r="I416" s="3" t="s">
        <v>1061</v>
      </c>
      <c r="J416" s="93" t="s">
        <v>1024</v>
      </c>
    </row>
    <row r="417" spans="4:10" ht="18.75" x14ac:dyDescent="0.25">
      <c r="D417" s="3" t="s">
        <v>32</v>
      </c>
      <c r="E417" s="27" t="s">
        <v>814</v>
      </c>
      <c r="F417" s="3" t="s">
        <v>914</v>
      </c>
      <c r="G417" s="5">
        <v>6000</v>
      </c>
      <c r="H417" s="5">
        <v>6000</v>
      </c>
      <c r="I417" s="3" t="s">
        <v>1061</v>
      </c>
      <c r="J417" s="93" t="s">
        <v>1024</v>
      </c>
    </row>
    <row r="418" spans="4:10" ht="18.75" x14ac:dyDescent="0.25">
      <c r="D418" s="3" t="s">
        <v>32</v>
      </c>
      <c r="E418" s="27" t="s">
        <v>791</v>
      </c>
      <c r="F418" s="3" t="s">
        <v>914</v>
      </c>
      <c r="G418" s="5">
        <v>25000</v>
      </c>
      <c r="H418" s="5">
        <v>25000</v>
      </c>
      <c r="I418" s="3" t="s">
        <v>1062</v>
      </c>
      <c r="J418" s="93" t="s">
        <v>1024</v>
      </c>
    </row>
    <row r="419" spans="4:10" ht="18.75" x14ac:dyDescent="0.25">
      <c r="D419" s="3" t="s">
        <v>32</v>
      </c>
      <c r="E419" s="27" t="s">
        <v>1063</v>
      </c>
      <c r="F419" s="3" t="s">
        <v>914</v>
      </c>
      <c r="G419" s="5">
        <v>10000</v>
      </c>
      <c r="H419" s="5">
        <v>10000</v>
      </c>
      <c r="I419" s="3" t="s">
        <v>1061</v>
      </c>
      <c r="J419" s="93" t="s">
        <v>1024</v>
      </c>
    </row>
    <row r="420" spans="4:10" ht="18.75" x14ac:dyDescent="0.25">
      <c r="D420" s="3" t="s">
        <v>32</v>
      </c>
      <c r="E420" s="27" t="s">
        <v>1064</v>
      </c>
      <c r="F420" s="3" t="s">
        <v>914</v>
      </c>
      <c r="G420" s="5">
        <v>10000</v>
      </c>
      <c r="H420" s="5">
        <v>10000</v>
      </c>
      <c r="I420" s="3" t="s">
        <v>1065</v>
      </c>
      <c r="J420" s="93" t="s">
        <v>1024</v>
      </c>
    </row>
    <row r="421" spans="4:10" ht="18.75" x14ac:dyDescent="0.25">
      <c r="D421" s="3" t="s">
        <v>32</v>
      </c>
      <c r="E421" s="27" t="s">
        <v>1066</v>
      </c>
      <c r="F421" s="3" t="s">
        <v>914</v>
      </c>
      <c r="G421" s="5">
        <v>5000</v>
      </c>
      <c r="H421" s="5">
        <v>5000</v>
      </c>
      <c r="I421" s="3" t="s">
        <v>1065</v>
      </c>
      <c r="J421" s="93" t="s">
        <v>1024</v>
      </c>
    </row>
    <row r="422" spans="4:10" ht="18.75" x14ac:dyDescent="0.25">
      <c r="D422" s="3" t="s">
        <v>32</v>
      </c>
      <c r="E422" s="27" t="s">
        <v>724</v>
      </c>
      <c r="F422" s="3" t="s">
        <v>914</v>
      </c>
      <c r="G422" s="5">
        <v>15000</v>
      </c>
      <c r="H422" s="5">
        <v>15000</v>
      </c>
      <c r="I422" s="3" t="s">
        <v>1065</v>
      </c>
      <c r="J422" s="93" t="s">
        <v>1024</v>
      </c>
    </row>
    <row r="423" spans="4:10" ht="18.75" x14ac:dyDescent="0.25">
      <c r="D423" s="3" t="s">
        <v>5</v>
      </c>
      <c r="E423" s="27" t="s">
        <v>1067</v>
      </c>
      <c r="F423" s="3" t="s">
        <v>914</v>
      </c>
      <c r="G423" s="5">
        <v>5000</v>
      </c>
      <c r="H423" s="5">
        <v>5000</v>
      </c>
      <c r="I423" s="3" t="s">
        <v>1061</v>
      </c>
      <c r="J423" s="93" t="s">
        <v>1024</v>
      </c>
    </row>
    <row r="424" spans="4:10" ht="18.75" x14ac:dyDescent="0.25">
      <c r="D424" s="3" t="s">
        <v>32</v>
      </c>
      <c r="E424" s="27" t="s">
        <v>1069</v>
      </c>
      <c r="F424" s="3" t="s">
        <v>914</v>
      </c>
      <c r="G424" s="5">
        <v>25000</v>
      </c>
      <c r="H424" s="5">
        <v>25000</v>
      </c>
      <c r="I424" s="3" t="s">
        <v>1070</v>
      </c>
      <c r="J424" s="93" t="s">
        <v>1024</v>
      </c>
    </row>
    <row r="425" spans="4:10" ht="18.75" x14ac:dyDescent="0.25">
      <c r="D425" s="3" t="s">
        <v>32</v>
      </c>
      <c r="E425" s="27" t="s">
        <v>1071</v>
      </c>
      <c r="F425" s="3" t="s">
        <v>83</v>
      </c>
      <c r="G425" s="5">
        <v>80000</v>
      </c>
      <c r="H425" s="5">
        <v>44000</v>
      </c>
      <c r="I425" s="3" t="s">
        <v>1070</v>
      </c>
      <c r="J425" s="93" t="s">
        <v>1024</v>
      </c>
    </row>
    <row r="426" spans="4:10" ht="18.75" x14ac:dyDescent="0.25">
      <c r="D426" s="3" t="s">
        <v>32</v>
      </c>
      <c r="E426" s="27" t="s">
        <v>311</v>
      </c>
      <c r="F426" s="3" t="s">
        <v>914</v>
      </c>
      <c r="G426" s="5">
        <v>15000</v>
      </c>
      <c r="H426" s="5">
        <v>15000</v>
      </c>
      <c r="I426" s="3" t="s">
        <v>1072</v>
      </c>
      <c r="J426" s="93" t="s">
        <v>1024</v>
      </c>
    </row>
    <row r="427" spans="4:10" ht="18.75" x14ac:dyDescent="0.25">
      <c r="D427" s="3" t="s">
        <v>32</v>
      </c>
      <c r="E427" s="27" t="s">
        <v>1074</v>
      </c>
      <c r="F427" s="3" t="s">
        <v>914</v>
      </c>
      <c r="G427" s="5">
        <v>21000</v>
      </c>
      <c r="H427" s="5">
        <v>21000</v>
      </c>
      <c r="I427" s="3" t="s">
        <v>1075</v>
      </c>
      <c r="J427" s="93" t="s">
        <v>1024</v>
      </c>
    </row>
    <row r="428" spans="4:10" ht="18.75" x14ac:dyDescent="0.25">
      <c r="D428" s="3" t="s">
        <v>32</v>
      </c>
      <c r="E428" s="27" t="s">
        <v>227</v>
      </c>
      <c r="F428" s="3" t="s">
        <v>1114</v>
      </c>
      <c r="G428" s="5">
        <v>102000</v>
      </c>
      <c r="H428" s="5">
        <v>102000</v>
      </c>
      <c r="I428" s="3" t="s">
        <v>1113</v>
      </c>
      <c r="J428" s="93" t="s">
        <v>1024</v>
      </c>
    </row>
    <row r="429" spans="4:10" ht="18.75" x14ac:dyDescent="0.3">
      <c r="D429" s="143" t="s">
        <v>67</v>
      </c>
      <c r="E429" s="143"/>
      <c r="F429" s="143"/>
      <c r="G429" s="7">
        <f>SUM(G388:G428)</f>
        <v>1470680</v>
      </c>
      <c r="H429" s="7">
        <f>SUM(H388:H428)</f>
        <v>1044250</v>
      </c>
      <c r="I429" s="144" t="s">
        <v>1073</v>
      </c>
      <c r="J429" s="144"/>
    </row>
    <row r="430" spans="4:10" ht="18.75" x14ac:dyDescent="0.25">
      <c r="D430" s="3" t="s">
        <v>19</v>
      </c>
      <c r="E430" s="27" t="s">
        <v>1118</v>
      </c>
      <c r="F430" s="3" t="s">
        <v>1119</v>
      </c>
      <c r="G430" s="5">
        <v>45000</v>
      </c>
      <c r="H430" s="5">
        <v>45000</v>
      </c>
      <c r="I430" s="3" t="s">
        <v>1120</v>
      </c>
      <c r="J430" s="93" t="s">
        <v>1076</v>
      </c>
    </row>
    <row r="431" spans="4:10" ht="18.75" x14ac:dyDescent="0.25">
      <c r="D431" s="3" t="s">
        <v>32</v>
      </c>
      <c r="E431" s="27" t="s">
        <v>249</v>
      </c>
      <c r="F431" s="3" t="s">
        <v>392</v>
      </c>
      <c r="G431" s="5">
        <v>10000</v>
      </c>
      <c r="H431" s="5">
        <v>10000</v>
      </c>
      <c r="I431" s="3" t="s">
        <v>1121</v>
      </c>
      <c r="J431" s="93" t="s">
        <v>1076</v>
      </c>
    </row>
    <row r="432" spans="4:10" ht="18.75" x14ac:dyDescent="0.25">
      <c r="D432" s="3" t="s">
        <v>32</v>
      </c>
      <c r="E432" s="27" t="s">
        <v>1122</v>
      </c>
      <c r="F432" s="3" t="s">
        <v>914</v>
      </c>
      <c r="G432" s="5">
        <v>5000</v>
      </c>
      <c r="H432" s="5">
        <v>5000</v>
      </c>
      <c r="I432" s="3" t="s">
        <v>1121</v>
      </c>
      <c r="J432" s="93" t="s">
        <v>1076</v>
      </c>
    </row>
    <row r="433" spans="4:10" ht="18.75" x14ac:dyDescent="0.25">
      <c r="D433" s="3" t="s">
        <v>32</v>
      </c>
      <c r="E433" s="27" t="s">
        <v>1029</v>
      </c>
      <c r="F433" s="3" t="s">
        <v>914</v>
      </c>
      <c r="G433" s="5">
        <v>25000</v>
      </c>
      <c r="H433" s="5">
        <v>25000</v>
      </c>
      <c r="I433" s="3" t="s">
        <v>1123</v>
      </c>
      <c r="J433" s="93" t="s">
        <v>1076</v>
      </c>
    </row>
    <row r="434" spans="4:10" ht="18.75" x14ac:dyDescent="0.25">
      <c r="D434" s="3" t="s">
        <v>5</v>
      </c>
      <c r="E434" s="27" t="s">
        <v>1124</v>
      </c>
      <c r="F434" s="3" t="s">
        <v>1125</v>
      </c>
      <c r="G434" s="5">
        <v>10000</v>
      </c>
      <c r="H434" s="5">
        <v>10000</v>
      </c>
      <c r="I434" s="3" t="s">
        <v>1123</v>
      </c>
      <c r="J434" s="93" t="s">
        <v>1076</v>
      </c>
    </row>
    <row r="435" spans="4:10" ht="18.75" x14ac:dyDescent="0.25">
      <c r="D435" s="3" t="s">
        <v>5</v>
      </c>
      <c r="E435" s="27" t="s">
        <v>1126</v>
      </c>
      <c r="F435" s="3" t="s">
        <v>914</v>
      </c>
      <c r="G435" s="5">
        <v>12000</v>
      </c>
      <c r="H435" s="5">
        <v>12000</v>
      </c>
      <c r="I435" s="3" t="s">
        <v>1123</v>
      </c>
      <c r="J435" s="93" t="s">
        <v>1076</v>
      </c>
    </row>
    <row r="436" spans="4:10" ht="18.75" x14ac:dyDescent="0.25">
      <c r="D436" s="3" t="s">
        <v>32</v>
      </c>
      <c r="E436" s="27" t="s">
        <v>923</v>
      </c>
      <c r="F436" s="3" t="s">
        <v>914</v>
      </c>
      <c r="G436" s="5">
        <v>30000</v>
      </c>
      <c r="H436" s="5">
        <v>30000</v>
      </c>
      <c r="I436" s="3" t="s">
        <v>1127</v>
      </c>
      <c r="J436" s="93" t="s">
        <v>1076</v>
      </c>
    </row>
    <row r="437" spans="4:10" ht="18.75" x14ac:dyDescent="0.25">
      <c r="D437" s="3" t="s">
        <v>88</v>
      </c>
      <c r="E437" s="27" t="s">
        <v>1138</v>
      </c>
      <c r="F437" s="3" t="s">
        <v>1140</v>
      </c>
      <c r="G437" s="5">
        <v>24000</v>
      </c>
      <c r="H437" s="5">
        <v>11930</v>
      </c>
      <c r="I437" s="3" t="s">
        <v>1127</v>
      </c>
      <c r="J437" s="93" t="s">
        <v>1076</v>
      </c>
    </row>
    <row r="438" spans="4:10" ht="18.75" x14ac:dyDescent="0.25">
      <c r="D438" s="3" t="s">
        <v>5</v>
      </c>
      <c r="E438" s="27" t="s">
        <v>1139</v>
      </c>
      <c r="F438" s="3" t="s">
        <v>914</v>
      </c>
      <c r="G438" s="5">
        <v>10000</v>
      </c>
      <c r="H438" s="5">
        <v>10000</v>
      </c>
      <c r="I438" s="3" t="s">
        <v>1127</v>
      </c>
      <c r="J438" s="93" t="s">
        <v>1076</v>
      </c>
    </row>
    <row r="439" spans="4:10" ht="18.75" x14ac:dyDescent="0.25">
      <c r="D439" s="3" t="s">
        <v>88</v>
      </c>
      <c r="E439" s="27" t="s">
        <v>1141</v>
      </c>
      <c r="F439" s="3" t="s">
        <v>1142</v>
      </c>
      <c r="G439" s="5">
        <v>5000</v>
      </c>
      <c r="H439" s="5">
        <v>5000</v>
      </c>
      <c r="I439" s="3" t="s">
        <v>1143</v>
      </c>
      <c r="J439" s="93" t="s">
        <v>1076</v>
      </c>
    </row>
  </sheetData>
  <autoFilter ref="D7:J438" xr:uid="{872D85A4-49DE-44E9-AAB3-E8070F646B3E}"/>
  <mergeCells count="18">
    <mergeCell ref="D26:F26"/>
    <mergeCell ref="I26:J26"/>
    <mergeCell ref="D71:F71"/>
    <mergeCell ref="I71:J71"/>
    <mergeCell ref="D123:F123"/>
    <mergeCell ref="I123:J123"/>
    <mergeCell ref="D429:F429"/>
    <mergeCell ref="I429:J429"/>
    <mergeCell ref="D387:F387"/>
    <mergeCell ref="I387:J387"/>
    <mergeCell ref="D187:F187"/>
    <mergeCell ref="I187:J187"/>
    <mergeCell ref="D346:F346"/>
    <mergeCell ref="I346:J346"/>
    <mergeCell ref="D279:F279"/>
    <mergeCell ref="I279:J279"/>
    <mergeCell ref="D244:F244"/>
    <mergeCell ref="I244:J244"/>
  </mergeCells>
  <phoneticPr fontId="4" type="noConversion"/>
  <pageMargins left="0.7" right="0.7" top="0.75" bottom="0.75" header="0.3" footer="0.3"/>
  <pageSetup paperSize="8" scale="1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9ECE-98D5-4949-8ED5-376658B92992}">
  <sheetPr>
    <pageSetUpPr fitToPage="1"/>
  </sheetPr>
  <dimension ref="F8:P56"/>
  <sheetViews>
    <sheetView tabSelected="1" topLeftCell="E4" workbookViewId="0">
      <selection activeCell="K5" sqref="K5"/>
    </sheetView>
  </sheetViews>
  <sheetFormatPr defaultRowHeight="15" x14ac:dyDescent="0.25"/>
  <cols>
    <col min="6" max="6" width="20.140625" customWidth="1"/>
    <col min="7" max="7" width="25.5703125" customWidth="1"/>
    <col min="8" max="8" width="24.85546875" customWidth="1"/>
    <col min="9" max="10" width="24" customWidth="1"/>
    <col min="11" max="11" width="48.28515625" customWidth="1"/>
    <col min="12" max="12" width="24.42578125" customWidth="1"/>
    <col min="13" max="13" width="24.28515625" customWidth="1"/>
    <col min="14" max="14" width="19.5703125" customWidth="1"/>
  </cols>
  <sheetData>
    <row r="8" spans="6:16" ht="15.75" x14ac:dyDescent="0.25">
      <c r="F8" s="152" t="s">
        <v>187</v>
      </c>
      <c r="G8" s="152"/>
      <c r="H8" s="152"/>
      <c r="I8" s="152"/>
      <c r="J8" s="152"/>
      <c r="K8" s="152"/>
      <c r="L8" s="152"/>
      <c r="M8" s="152"/>
      <c r="N8" s="152"/>
      <c r="O8" s="8"/>
      <c r="P8" s="8"/>
    </row>
    <row r="9" spans="6:16" ht="18.75" x14ac:dyDescent="0.25">
      <c r="F9" s="153" t="s">
        <v>188</v>
      </c>
      <c r="G9" s="154"/>
      <c r="H9" s="154"/>
      <c r="I9" s="154"/>
      <c r="J9" s="155"/>
      <c r="K9" s="151" t="s">
        <v>193</v>
      </c>
      <c r="L9" s="151"/>
      <c r="M9" s="151"/>
      <c r="N9" s="151"/>
    </row>
    <row r="10" spans="6:16" ht="18.75" x14ac:dyDescent="0.25">
      <c r="F10" s="2" t="s">
        <v>189</v>
      </c>
      <c r="G10" s="9" t="s">
        <v>192</v>
      </c>
      <c r="H10" s="10" t="s">
        <v>190</v>
      </c>
      <c r="I10" s="10" t="s">
        <v>191</v>
      </c>
      <c r="J10" s="11" t="s">
        <v>71</v>
      </c>
      <c r="K10" s="9" t="s">
        <v>192</v>
      </c>
      <c r="L10" s="10" t="s">
        <v>194</v>
      </c>
      <c r="M10" s="10" t="s">
        <v>191</v>
      </c>
      <c r="N10" s="11" t="s">
        <v>71</v>
      </c>
    </row>
    <row r="11" spans="6:16" ht="37.5" x14ac:dyDescent="0.25">
      <c r="F11" s="12" t="s">
        <v>34</v>
      </c>
      <c r="G11" s="13" t="s">
        <v>195</v>
      </c>
      <c r="H11" s="14">
        <v>327700</v>
      </c>
      <c r="I11" s="14">
        <v>214100</v>
      </c>
      <c r="J11" s="15" t="s">
        <v>105</v>
      </c>
      <c r="K11" s="16" t="s">
        <v>213</v>
      </c>
      <c r="L11" s="14">
        <v>14000</v>
      </c>
      <c r="M11" s="14">
        <v>10598</v>
      </c>
      <c r="N11" s="15" t="s">
        <v>105</v>
      </c>
    </row>
    <row r="12" spans="6:16" ht="37.5" x14ac:dyDescent="0.25">
      <c r="F12" s="12" t="s">
        <v>34</v>
      </c>
      <c r="G12" s="13" t="s">
        <v>196</v>
      </c>
      <c r="H12" s="14">
        <v>280000</v>
      </c>
      <c r="I12" s="14">
        <v>124150</v>
      </c>
      <c r="J12" s="15" t="s">
        <v>105</v>
      </c>
      <c r="K12" s="16" t="s">
        <v>213</v>
      </c>
      <c r="L12" s="14">
        <v>14000</v>
      </c>
      <c r="M12" s="14">
        <v>10598</v>
      </c>
      <c r="N12" s="15" t="s">
        <v>105</v>
      </c>
    </row>
    <row r="13" spans="6:16" ht="37.5" x14ac:dyDescent="0.25">
      <c r="F13" s="12" t="s">
        <v>34</v>
      </c>
      <c r="G13" s="13" t="s">
        <v>197</v>
      </c>
      <c r="H13" s="14">
        <v>178500</v>
      </c>
      <c r="I13" s="14">
        <v>35150</v>
      </c>
      <c r="J13" s="15" t="s">
        <v>105</v>
      </c>
      <c r="K13" s="16" t="s">
        <v>214</v>
      </c>
      <c r="L13" s="14">
        <v>9700</v>
      </c>
      <c r="M13" s="14">
        <v>4550</v>
      </c>
      <c r="N13" s="15" t="s">
        <v>105</v>
      </c>
    </row>
    <row r="14" spans="6:16" ht="37.5" x14ac:dyDescent="0.25">
      <c r="F14" s="12" t="s">
        <v>33</v>
      </c>
      <c r="G14" s="13" t="s">
        <v>198</v>
      </c>
      <c r="H14" s="14">
        <v>10000</v>
      </c>
      <c r="I14" s="14">
        <v>8717.5</v>
      </c>
      <c r="J14" s="15" t="s">
        <v>105</v>
      </c>
      <c r="K14" s="13" t="s">
        <v>215</v>
      </c>
      <c r="L14" s="14">
        <v>16000</v>
      </c>
      <c r="M14" s="14">
        <v>5550</v>
      </c>
      <c r="N14" s="15" t="s">
        <v>105</v>
      </c>
    </row>
    <row r="15" spans="6:16" ht="18.75" x14ac:dyDescent="0.25">
      <c r="F15" s="12"/>
      <c r="G15" s="18" t="s">
        <v>67</v>
      </c>
      <c r="H15" s="7">
        <f>SUM(H11:H14)</f>
        <v>796200</v>
      </c>
      <c r="I15" s="17">
        <f>SUM(I11:I14)</f>
        <v>382117.5</v>
      </c>
      <c r="J15" s="18" t="s">
        <v>105</v>
      </c>
      <c r="K15" s="18" t="s">
        <v>67</v>
      </c>
      <c r="L15" s="17">
        <f>SUM(L11:L14)</f>
        <v>53700</v>
      </c>
      <c r="M15" s="17">
        <f>SUM(M11:M14)</f>
        <v>31296</v>
      </c>
      <c r="N15" s="18" t="s">
        <v>105</v>
      </c>
    </row>
    <row r="16" spans="6:16" ht="37.5" x14ac:dyDescent="0.25">
      <c r="F16" s="12" t="s">
        <v>31</v>
      </c>
      <c r="G16" s="13" t="s">
        <v>199</v>
      </c>
      <c r="H16" s="14">
        <v>185000</v>
      </c>
      <c r="I16" s="14">
        <v>41650</v>
      </c>
      <c r="J16" s="15" t="s">
        <v>169</v>
      </c>
      <c r="K16" s="13" t="s">
        <v>112</v>
      </c>
      <c r="L16" s="14">
        <v>8000</v>
      </c>
      <c r="M16" s="14">
        <v>7050</v>
      </c>
      <c r="N16" s="15" t="s">
        <v>169</v>
      </c>
    </row>
    <row r="17" spans="6:14" ht="37.5" x14ac:dyDescent="0.25">
      <c r="F17" s="12" t="s">
        <v>31</v>
      </c>
      <c r="G17" s="13" t="s">
        <v>200</v>
      </c>
      <c r="H17" s="14">
        <v>160250</v>
      </c>
      <c r="I17" s="14">
        <v>45050</v>
      </c>
      <c r="J17" s="15" t="s">
        <v>169</v>
      </c>
      <c r="K17" s="13" t="s">
        <v>216</v>
      </c>
      <c r="L17" s="14"/>
      <c r="M17" s="14"/>
      <c r="N17" s="15" t="s">
        <v>169</v>
      </c>
    </row>
    <row r="18" spans="6:14" ht="93.75" x14ac:dyDescent="0.25">
      <c r="F18" s="12" t="s">
        <v>31</v>
      </c>
      <c r="G18" s="13" t="s">
        <v>201</v>
      </c>
      <c r="H18" s="14">
        <v>100000</v>
      </c>
      <c r="I18" s="14">
        <v>76972</v>
      </c>
      <c r="J18" s="15" t="s">
        <v>169</v>
      </c>
      <c r="K18" s="13" t="s">
        <v>80</v>
      </c>
      <c r="L18" s="14">
        <v>10000</v>
      </c>
      <c r="M18" s="14">
        <v>6598</v>
      </c>
      <c r="N18" s="15" t="s">
        <v>169</v>
      </c>
    </row>
    <row r="19" spans="6:14" ht="37.5" x14ac:dyDescent="0.25">
      <c r="F19" s="12" t="s">
        <v>31</v>
      </c>
      <c r="G19" s="13" t="s">
        <v>202</v>
      </c>
      <c r="H19" s="14">
        <v>183000</v>
      </c>
      <c r="I19" s="14">
        <v>69400</v>
      </c>
      <c r="J19" s="15" t="s">
        <v>169</v>
      </c>
      <c r="K19" s="13" t="s">
        <v>119</v>
      </c>
      <c r="L19" s="14">
        <v>16350</v>
      </c>
      <c r="M19" s="14">
        <v>5450</v>
      </c>
      <c r="N19" s="15" t="s">
        <v>169</v>
      </c>
    </row>
    <row r="20" spans="6:14" ht="37.5" x14ac:dyDescent="0.25">
      <c r="F20" s="12" t="s">
        <v>45</v>
      </c>
      <c r="G20" s="13" t="s">
        <v>203</v>
      </c>
      <c r="H20" s="14">
        <v>20000</v>
      </c>
      <c r="I20" s="14">
        <v>16598</v>
      </c>
      <c r="J20" s="15" t="s">
        <v>169</v>
      </c>
      <c r="K20" s="13" t="s">
        <v>217</v>
      </c>
      <c r="L20" s="14">
        <v>50000</v>
      </c>
      <c r="M20" s="14">
        <v>21650</v>
      </c>
      <c r="N20" s="15" t="s">
        <v>169</v>
      </c>
    </row>
    <row r="21" spans="6:14" ht="37.5" x14ac:dyDescent="0.25">
      <c r="F21" s="12" t="s">
        <v>46</v>
      </c>
      <c r="G21" s="13" t="s">
        <v>204</v>
      </c>
      <c r="H21" s="14">
        <v>8500</v>
      </c>
      <c r="I21" s="14">
        <v>7217.5</v>
      </c>
      <c r="J21" s="15" t="s">
        <v>169</v>
      </c>
      <c r="K21" s="13" t="s">
        <v>218</v>
      </c>
      <c r="L21" s="14">
        <v>10000</v>
      </c>
      <c r="M21" s="14">
        <v>7435</v>
      </c>
      <c r="N21" s="15" t="s">
        <v>169</v>
      </c>
    </row>
    <row r="22" spans="6:14" ht="56.25" x14ac:dyDescent="0.25">
      <c r="F22" s="12" t="s">
        <v>50</v>
      </c>
      <c r="G22" s="13" t="s">
        <v>205</v>
      </c>
      <c r="H22" s="14">
        <v>22500</v>
      </c>
      <c r="I22" s="14">
        <v>16092</v>
      </c>
      <c r="J22" s="15" t="s">
        <v>169</v>
      </c>
      <c r="K22" s="13" t="s">
        <v>219</v>
      </c>
      <c r="L22" s="14">
        <v>15000</v>
      </c>
      <c r="M22" s="14"/>
      <c r="N22" s="15" t="s">
        <v>169</v>
      </c>
    </row>
    <row r="23" spans="6:14" ht="37.5" x14ac:dyDescent="0.25">
      <c r="F23" s="12" t="s">
        <v>50</v>
      </c>
      <c r="G23" s="13" t="s">
        <v>206</v>
      </c>
      <c r="H23" s="14">
        <v>61000</v>
      </c>
      <c r="I23" s="14">
        <v>19450</v>
      </c>
      <c r="J23" s="15" t="s">
        <v>169</v>
      </c>
      <c r="K23" s="13" t="s">
        <v>220</v>
      </c>
      <c r="L23" s="14">
        <v>14500</v>
      </c>
      <c r="M23" s="14">
        <v>7510</v>
      </c>
      <c r="N23" s="15" t="s">
        <v>169</v>
      </c>
    </row>
    <row r="24" spans="6:14" ht="37.5" x14ac:dyDescent="0.25">
      <c r="F24" s="12" t="s">
        <v>50</v>
      </c>
      <c r="G24" s="13" t="s">
        <v>207</v>
      </c>
      <c r="H24" s="14">
        <v>177000</v>
      </c>
      <c r="I24" s="14">
        <v>109612</v>
      </c>
      <c r="J24" s="15" t="s">
        <v>169</v>
      </c>
      <c r="K24" s="13" t="s">
        <v>221</v>
      </c>
      <c r="L24" s="14">
        <v>8700</v>
      </c>
      <c r="M24" s="14">
        <v>4650</v>
      </c>
      <c r="N24" s="15" t="s">
        <v>169</v>
      </c>
    </row>
    <row r="25" spans="6:14" ht="37.5" x14ac:dyDescent="0.25">
      <c r="F25" s="12" t="s">
        <v>50</v>
      </c>
      <c r="G25" s="13" t="s">
        <v>208</v>
      </c>
      <c r="H25" s="14">
        <v>25000</v>
      </c>
      <c r="I25" s="14">
        <v>21260</v>
      </c>
      <c r="J25" s="15" t="s">
        <v>169</v>
      </c>
      <c r="K25" s="13" t="s">
        <v>222</v>
      </c>
      <c r="L25" s="14">
        <v>4900</v>
      </c>
      <c r="M25" s="14">
        <v>3040</v>
      </c>
      <c r="N25" s="15" t="s">
        <v>169</v>
      </c>
    </row>
    <row r="26" spans="6:14" ht="37.5" x14ac:dyDescent="0.25">
      <c r="F26" s="12" t="s">
        <v>55</v>
      </c>
      <c r="G26" s="13" t="s">
        <v>207</v>
      </c>
      <c r="H26" s="14">
        <v>177000</v>
      </c>
      <c r="I26" s="14">
        <v>109612</v>
      </c>
      <c r="J26" s="15" t="s">
        <v>169</v>
      </c>
      <c r="K26" s="13" t="s">
        <v>223</v>
      </c>
      <c r="L26" s="14">
        <v>90000</v>
      </c>
      <c r="M26" s="14">
        <v>43942.5</v>
      </c>
      <c r="N26" s="15" t="s">
        <v>169</v>
      </c>
    </row>
    <row r="27" spans="6:14" ht="37.5" x14ac:dyDescent="0.25">
      <c r="F27" s="12" t="s">
        <v>55</v>
      </c>
      <c r="G27" s="19" t="s">
        <v>209</v>
      </c>
      <c r="H27" s="20">
        <v>28000</v>
      </c>
      <c r="I27" s="14">
        <v>24965.5</v>
      </c>
      <c r="J27" s="21" t="s">
        <v>169</v>
      </c>
      <c r="K27" s="13" t="s">
        <v>224</v>
      </c>
      <c r="L27" s="14">
        <v>120000</v>
      </c>
      <c r="M27" s="14">
        <v>73942.5</v>
      </c>
      <c r="N27" s="15" t="s">
        <v>169</v>
      </c>
    </row>
    <row r="28" spans="6:14" ht="37.5" x14ac:dyDescent="0.25">
      <c r="F28" s="12" t="s">
        <v>55</v>
      </c>
      <c r="G28" s="13" t="s">
        <v>210</v>
      </c>
      <c r="H28" s="14">
        <v>100000</v>
      </c>
      <c r="I28" s="14">
        <v>75328.5</v>
      </c>
      <c r="J28" s="15" t="s">
        <v>169</v>
      </c>
      <c r="K28" s="16"/>
      <c r="L28" s="4"/>
      <c r="M28" s="4"/>
      <c r="N28" s="15" t="s">
        <v>169</v>
      </c>
    </row>
    <row r="29" spans="6:14" ht="56.25" x14ac:dyDescent="0.25">
      <c r="F29" s="12" t="s">
        <v>59</v>
      </c>
      <c r="G29" s="13" t="s">
        <v>211</v>
      </c>
      <c r="H29" s="14">
        <v>20000</v>
      </c>
      <c r="I29" s="14">
        <v>14870</v>
      </c>
      <c r="J29" s="15" t="s">
        <v>169</v>
      </c>
      <c r="K29" s="16"/>
      <c r="L29" s="4"/>
      <c r="M29" s="4"/>
      <c r="N29" s="15" t="s">
        <v>169</v>
      </c>
    </row>
    <row r="30" spans="6:14" ht="37.5" x14ac:dyDescent="0.25">
      <c r="F30" s="12" t="s">
        <v>61</v>
      </c>
      <c r="G30" s="13" t="s">
        <v>212</v>
      </c>
      <c r="H30" s="14">
        <v>12700</v>
      </c>
      <c r="I30" s="14">
        <v>5800</v>
      </c>
      <c r="J30" s="15" t="s">
        <v>169</v>
      </c>
      <c r="K30" s="16"/>
      <c r="L30" s="4"/>
      <c r="M30" s="4"/>
      <c r="N30" s="15" t="s">
        <v>169</v>
      </c>
    </row>
    <row r="31" spans="6:14" ht="18.75" x14ac:dyDescent="0.25">
      <c r="F31" s="49"/>
      <c r="G31" s="18" t="s">
        <v>67</v>
      </c>
      <c r="H31" s="17">
        <f>SUM(H16:H30)</f>
        <v>1279950</v>
      </c>
      <c r="I31" s="17">
        <f>SUM(I16:I30)</f>
        <v>653877.5</v>
      </c>
      <c r="J31" s="18" t="s">
        <v>169</v>
      </c>
      <c r="K31" s="18" t="s">
        <v>67</v>
      </c>
      <c r="L31" s="17">
        <f>SUM(L16:L30)</f>
        <v>347450</v>
      </c>
      <c r="M31" s="17">
        <f>SUM(M16:M30)</f>
        <v>181268</v>
      </c>
      <c r="N31" s="18" t="s">
        <v>169</v>
      </c>
    </row>
    <row r="32" spans="6:14" ht="37.5" x14ac:dyDescent="0.25">
      <c r="F32" s="12" t="s">
        <v>31</v>
      </c>
      <c r="G32" s="13" t="s">
        <v>326</v>
      </c>
      <c r="H32" s="14">
        <v>475</v>
      </c>
      <c r="I32" s="14">
        <v>17525</v>
      </c>
      <c r="J32" s="15" t="s">
        <v>321</v>
      </c>
      <c r="K32" s="16" t="s">
        <v>327</v>
      </c>
      <c r="L32" s="14">
        <v>20000</v>
      </c>
      <c r="M32" s="14">
        <v>10310</v>
      </c>
      <c r="N32" s="15" t="s">
        <v>321</v>
      </c>
    </row>
    <row r="33" spans="6:14" ht="37.5" x14ac:dyDescent="0.25">
      <c r="F33" s="12"/>
      <c r="G33" s="16"/>
      <c r="H33" s="4"/>
      <c r="I33" s="4"/>
      <c r="J33" s="15" t="s">
        <v>321</v>
      </c>
      <c r="K33" s="52" t="s">
        <v>328</v>
      </c>
      <c r="L33" s="14">
        <v>20000</v>
      </c>
      <c r="M33" s="14">
        <v>13196</v>
      </c>
      <c r="N33" s="15" t="s">
        <v>321</v>
      </c>
    </row>
    <row r="34" spans="6:14" ht="56.25" x14ac:dyDescent="0.25">
      <c r="F34" s="12"/>
      <c r="G34" s="16"/>
      <c r="H34" s="4"/>
      <c r="I34" s="4"/>
      <c r="J34" s="15" t="s">
        <v>321</v>
      </c>
      <c r="K34" s="16" t="s">
        <v>331</v>
      </c>
      <c r="L34" s="14">
        <v>24500</v>
      </c>
      <c r="M34" s="53" t="s">
        <v>332</v>
      </c>
      <c r="N34" s="15" t="s">
        <v>321</v>
      </c>
    </row>
    <row r="35" spans="6:14" ht="18.75" x14ac:dyDescent="0.25">
      <c r="F35" s="12"/>
      <c r="G35" s="16"/>
      <c r="H35" s="4"/>
      <c r="I35" s="4"/>
      <c r="J35" s="15" t="s">
        <v>321</v>
      </c>
      <c r="K35" s="52" t="s">
        <v>329</v>
      </c>
      <c r="L35" s="14">
        <v>9000</v>
      </c>
      <c r="M35" s="14">
        <v>7020</v>
      </c>
      <c r="N35" s="15" t="s">
        <v>321</v>
      </c>
    </row>
    <row r="36" spans="6:14" ht="18.75" x14ac:dyDescent="0.25">
      <c r="F36" s="12"/>
      <c r="G36" s="16"/>
      <c r="H36" s="4"/>
      <c r="I36" s="4"/>
      <c r="J36" s="15" t="s">
        <v>321</v>
      </c>
      <c r="K36" s="13" t="s">
        <v>330</v>
      </c>
      <c r="L36" s="14">
        <v>3200</v>
      </c>
      <c r="M36" s="14">
        <v>2850</v>
      </c>
      <c r="N36" s="15" t="s">
        <v>321</v>
      </c>
    </row>
    <row r="37" spans="6:14" ht="56.25" x14ac:dyDescent="0.25">
      <c r="F37" s="12"/>
      <c r="G37" s="16"/>
      <c r="H37" s="4"/>
      <c r="I37" s="4"/>
      <c r="J37" s="15" t="s">
        <v>321</v>
      </c>
      <c r="K37" s="16" t="s">
        <v>267</v>
      </c>
      <c r="L37" s="14">
        <v>11250</v>
      </c>
      <c r="M37" s="53" t="s">
        <v>332</v>
      </c>
      <c r="N37" s="15" t="s">
        <v>321</v>
      </c>
    </row>
    <row r="38" spans="6:14" ht="56.25" x14ac:dyDescent="0.25">
      <c r="F38" s="12"/>
      <c r="G38" s="16"/>
      <c r="H38" s="4"/>
      <c r="I38" s="4"/>
      <c r="J38" s="15" t="s">
        <v>321</v>
      </c>
      <c r="K38" s="13" t="s">
        <v>277</v>
      </c>
      <c r="L38" s="14">
        <v>30000</v>
      </c>
      <c r="M38" s="53" t="s">
        <v>332</v>
      </c>
      <c r="N38" s="15" t="s">
        <v>321</v>
      </c>
    </row>
    <row r="39" spans="6:14" ht="18.75" x14ac:dyDescent="0.25">
      <c r="F39" s="12"/>
      <c r="G39" s="16"/>
      <c r="H39" s="4"/>
      <c r="I39" s="4"/>
      <c r="J39" s="15" t="s">
        <v>321</v>
      </c>
      <c r="K39" s="16" t="s">
        <v>280</v>
      </c>
      <c r="L39" s="14">
        <v>35000</v>
      </c>
      <c r="M39" s="14">
        <v>25000</v>
      </c>
      <c r="N39" s="15" t="s">
        <v>321</v>
      </c>
    </row>
    <row r="40" spans="6:14" ht="56.25" x14ac:dyDescent="0.25">
      <c r="F40" s="12"/>
      <c r="G40" s="16"/>
      <c r="H40" s="4"/>
      <c r="I40" s="4"/>
      <c r="J40" s="15" t="s">
        <v>321</v>
      </c>
      <c r="K40" s="16" t="s">
        <v>309</v>
      </c>
      <c r="L40" s="14">
        <v>20000</v>
      </c>
      <c r="M40" s="53" t="s">
        <v>333</v>
      </c>
      <c r="N40" s="15" t="s">
        <v>321</v>
      </c>
    </row>
    <row r="41" spans="6:14" ht="18.75" x14ac:dyDescent="0.25">
      <c r="F41" s="48"/>
      <c r="G41" s="50" t="s">
        <v>67</v>
      </c>
      <c r="H41" s="17">
        <f>SUM(H32:H40)</f>
        <v>475</v>
      </c>
      <c r="I41" s="17">
        <f>SUM(I32:I40)</f>
        <v>17525</v>
      </c>
      <c r="J41" s="50" t="s">
        <v>321</v>
      </c>
      <c r="K41" s="50" t="s">
        <v>67</v>
      </c>
      <c r="L41" s="17">
        <f>SUM(L32:L40)</f>
        <v>172950</v>
      </c>
      <c r="M41" s="17">
        <f>SUM(M32:M40)</f>
        <v>58376</v>
      </c>
      <c r="N41" s="50" t="s">
        <v>321</v>
      </c>
    </row>
    <row r="42" spans="6:14" ht="37.5" x14ac:dyDescent="0.25">
      <c r="F42" s="12"/>
      <c r="G42" s="16"/>
      <c r="H42" s="4"/>
      <c r="I42" s="4"/>
      <c r="J42" s="15" t="s">
        <v>334</v>
      </c>
      <c r="K42" s="13" t="s">
        <v>323</v>
      </c>
      <c r="L42" s="14">
        <v>10000</v>
      </c>
      <c r="M42" s="4"/>
      <c r="N42" s="15" t="s">
        <v>334</v>
      </c>
    </row>
    <row r="43" spans="6:14" ht="18.75" x14ac:dyDescent="0.25">
      <c r="F43" s="12"/>
      <c r="G43" s="16"/>
      <c r="H43" s="4"/>
      <c r="I43" s="4"/>
      <c r="J43" s="15" t="s">
        <v>334</v>
      </c>
      <c r="K43" s="16" t="s">
        <v>346</v>
      </c>
      <c r="L43" s="14">
        <v>30000</v>
      </c>
      <c r="M43" s="4"/>
      <c r="N43" s="15" t="s">
        <v>334</v>
      </c>
    </row>
    <row r="44" spans="6:14" ht="18.75" x14ac:dyDescent="0.25">
      <c r="F44" s="12"/>
      <c r="G44" s="16"/>
      <c r="H44" s="4"/>
      <c r="I44" s="4"/>
      <c r="J44" s="15" t="s">
        <v>334</v>
      </c>
      <c r="K44" s="16"/>
      <c r="L44" s="4"/>
      <c r="M44" s="4"/>
      <c r="N44" s="15" t="s">
        <v>334</v>
      </c>
    </row>
    <row r="45" spans="6:14" ht="18.75" x14ac:dyDescent="0.25">
      <c r="F45" s="12"/>
      <c r="G45" s="16"/>
      <c r="H45" s="4"/>
      <c r="I45" s="4"/>
      <c r="J45" s="15" t="s">
        <v>334</v>
      </c>
      <c r="K45" s="16"/>
      <c r="L45" s="4"/>
      <c r="M45" s="4"/>
      <c r="N45" s="15" t="s">
        <v>334</v>
      </c>
    </row>
    <row r="46" spans="6:14" ht="18.75" x14ac:dyDescent="0.25">
      <c r="F46" s="12"/>
      <c r="G46" s="16"/>
      <c r="H46" s="4"/>
      <c r="I46" s="4"/>
      <c r="J46" s="15" t="s">
        <v>334</v>
      </c>
      <c r="K46" s="16"/>
      <c r="L46" s="4"/>
      <c r="M46" s="4"/>
      <c r="N46" s="15" t="s">
        <v>334</v>
      </c>
    </row>
    <row r="47" spans="6:14" ht="18.75" x14ac:dyDescent="0.25">
      <c r="F47" s="12"/>
      <c r="G47" s="16"/>
      <c r="H47" s="4"/>
      <c r="I47" s="4"/>
      <c r="J47" s="15" t="s">
        <v>334</v>
      </c>
      <c r="K47" s="16"/>
      <c r="L47" s="4"/>
      <c r="M47" s="4"/>
      <c r="N47" s="15" t="s">
        <v>334</v>
      </c>
    </row>
    <row r="48" spans="6:14" ht="18.75" x14ac:dyDescent="0.25">
      <c r="F48" s="12"/>
      <c r="G48" s="16"/>
      <c r="H48" s="4"/>
      <c r="I48" s="4"/>
      <c r="J48" s="15" t="s">
        <v>334</v>
      </c>
      <c r="K48" s="16"/>
      <c r="L48" s="4"/>
      <c r="M48" s="4"/>
      <c r="N48" s="15" t="s">
        <v>334</v>
      </c>
    </row>
    <row r="49" spans="6:14" ht="18.75" x14ac:dyDescent="0.25">
      <c r="F49" s="12"/>
      <c r="G49" s="16"/>
      <c r="H49" s="4"/>
      <c r="I49" s="4"/>
      <c r="J49" s="15" t="s">
        <v>334</v>
      </c>
      <c r="K49" s="16"/>
      <c r="L49" s="4"/>
      <c r="M49" s="4"/>
      <c r="N49" s="15" t="s">
        <v>334</v>
      </c>
    </row>
    <row r="50" spans="6:14" ht="18.75" x14ac:dyDescent="0.25">
      <c r="F50" s="12"/>
      <c r="G50" s="16"/>
      <c r="H50" s="4"/>
      <c r="I50" s="4"/>
      <c r="J50" s="15" t="s">
        <v>334</v>
      </c>
      <c r="K50" s="16"/>
      <c r="L50" s="4"/>
      <c r="M50" s="4"/>
      <c r="N50" s="15" t="s">
        <v>334</v>
      </c>
    </row>
    <row r="51" spans="6:14" ht="18.75" x14ac:dyDescent="0.25">
      <c r="F51" s="12"/>
      <c r="G51" s="16"/>
      <c r="H51" s="4"/>
      <c r="I51" s="4"/>
      <c r="J51" s="15" t="s">
        <v>334</v>
      </c>
      <c r="K51" s="16"/>
      <c r="L51" s="4"/>
      <c r="M51" s="4"/>
      <c r="N51" s="15" t="s">
        <v>334</v>
      </c>
    </row>
    <row r="52" spans="6:14" ht="18.75" x14ac:dyDescent="0.25">
      <c r="F52" s="12"/>
      <c r="G52" s="16"/>
      <c r="H52" s="4"/>
      <c r="I52" s="4"/>
      <c r="J52" s="15" t="s">
        <v>334</v>
      </c>
      <c r="K52" s="16"/>
      <c r="L52" s="4"/>
      <c r="M52" s="4"/>
      <c r="N52" s="15" t="s">
        <v>334</v>
      </c>
    </row>
    <row r="53" spans="6:14" ht="18.75" x14ac:dyDescent="0.25">
      <c r="F53" s="12"/>
      <c r="G53" s="16"/>
      <c r="H53" s="4"/>
      <c r="I53" s="4"/>
      <c r="J53" s="15" t="s">
        <v>334</v>
      </c>
      <c r="K53" s="16"/>
      <c r="L53" s="4"/>
      <c r="M53" s="4"/>
      <c r="N53" s="15" t="s">
        <v>334</v>
      </c>
    </row>
    <row r="54" spans="6:14" ht="18.75" x14ac:dyDescent="0.25">
      <c r="F54" s="12"/>
      <c r="G54" s="16"/>
      <c r="H54" s="4"/>
      <c r="I54" s="4"/>
      <c r="J54" s="15" t="s">
        <v>334</v>
      </c>
      <c r="K54" s="16"/>
      <c r="L54" s="4"/>
      <c r="M54" s="4"/>
      <c r="N54" s="15" t="s">
        <v>334</v>
      </c>
    </row>
    <row r="55" spans="6:14" ht="18.75" x14ac:dyDescent="0.25">
      <c r="F55" s="12"/>
      <c r="G55" s="16"/>
      <c r="H55" s="4"/>
      <c r="I55" s="4"/>
      <c r="J55" s="15" t="s">
        <v>334</v>
      </c>
      <c r="K55" s="16"/>
      <c r="L55" s="4"/>
      <c r="M55" s="4"/>
      <c r="N55" s="15" t="s">
        <v>334</v>
      </c>
    </row>
    <row r="56" spans="6:14" ht="18.75" x14ac:dyDescent="0.25">
      <c r="F56" s="12"/>
      <c r="G56" s="16"/>
      <c r="H56" s="4"/>
      <c r="I56" s="4"/>
      <c r="J56" s="15" t="s">
        <v>334</v>
      </c>
      <c r="K56" s="16"/>
      <c r="L56" s="4"/>
      <c r="M56" s="4"/>
      <c r="N56" s="15" t="s">
        <v>334</v>
      </c>
    </row>
  </sheetData>
  <mergeCells count="3">
    <mergeCell ref="K9:N9"/>
    <mergeCell ref="F8:N8"/>
    <mergeCell ref="F9:J9"/>
  </mergeCells>
  <phoneticPr fontId="4" type="noConversion"/>
  <pageMargins left="0.7" right="0.7" top="0.75" bottom="0.75" header="0.3" footer="0.3"/>
  <pageSetup paperSize="8" scale="6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Договор</vt:lpstr>
      <vt:lpstr>Архив</vt:lpstr>
      <vt:lpstr>Наличные</vt:lpstr>
      <vt:lpstr>Прибыль с производства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Стрекалов Борис Борисович</dc:creator>
  <cp:lastModifiedBy>Кусаев Даулет</cp:lastModifiedBy>
  <cp:lastPrinted>2025-07-09T12:30:27Z</cp:lastPrinted>
  <dcterms:created xsi:type="dcterms:W3CDTF">2015-06-05T18:19:34Z</dcterms:created>
  <dcterms:modified xsi:type="dcterms:W3CDTF">2025-10-10T07:35:26Z</dcterms:modified>
</cp:coreProperties>
</file>